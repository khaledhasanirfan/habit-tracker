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alat Tracker" sheetId="2" state="visible" r:id="rId2"/>
    <sheet name="Gym Routine" sheetId="3" state="visible" r:id="rId3"/>
    <sheet name="Supplements" sheetId="4" state="visible" r:id="rId4"/>
    <sheet name="Steps Tracker" sheetId="5" state="visible" r:id="rId5"/>
    <sheet name="Running Tracker" sheetId="6" state="visible" r:id="rId6"/>
    <sheet name="Expense &amp; Savings" sheetId="7" state="visible" r:id="rId7"/>
    <sheet name="Goals &amp; Settings" sheetId="8" state="visible" r:id="rId8"/>
    <sheet name="Monthly Summary" sheetId="9" state="visible" r:id="rId9"/>
  </sheets>
  <definedNames>
    <definedName name="_xlnm._FilterDatabase" localSheetId="1" hidden="1">'Salat Tracker'!$A$3:$J$368</definedName>
    <definedName name="_xlnm._FilterDatabase" localSheetId="2" hidden="1">'Gym Routine'!$A$3:$I$368</definedName>
    <definedName name="_xlnm._FilterDatabase" localSheetId="3" hidden="1">'Supplements'!$A$3:$F$368</definedName>
    <definedName name="_xlnm._FilterDatabase" localSheetId="4" hidden="1">'Steps Tracker'!$A$3:$G$368</definedName>
    <definedName name="_xlnm._FilterDatabase" localSheetId="5" hidden="1">'Running Tracker'!$A$3:$I$368</definedName>
    <definedName name="_xlnm._FilterDatabase" localSheetId="6" hidden="1">'Expense &amp; Savings'!$A$3:$I$368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Today: &quot;DDDD, DD MMMM YYYY"/>
    <numFmt numFmtId="165" formatCode="0.0%"/>
    <numFmt numFmtId="166" formatCode="0.0 &quot;km&quot;"/>
    <numFmt numFmtId="167" formatCode="0.0"/>
    <numFmt numFmtId="168" formatCode="yyyy-mm-dd"/>
    <numFmt numFmtId="169" formatCode="DD-MMM-YYYY"/>
    <numFmt numFmtId="170" formatCode=";;;"/>
    <numFmt numFmtId="171" formatCode="+#,##0;-#,##0;0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00897B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897B"/>
      <sz val="16"/>
    </font>
    <font>
      <name val="Calibri"/>
      <i val="1"/>
      <color rgb="00757575"/>
      <sz val="9"/>
    </font>
    <font>
      <name val="Calibri"/>
      <b val="1"/>
      <color rgb="005C35A1"/>
      <sz val="16"/>
    </font>
    <font>
      <name val="Calibri"/>
      <b val="1"/>
      <color rgb="00F57C00"/>
      <sz val="16"/>
    </font>
    <font>
      <name val="Calibri"/>
      <b val="1"/>
      <color rgb="001565C0"/>
      <sz val="16"/>
    </font>
    <font>
      <name val="Calibri"/>
      <b val="1"/>
      <color rgb="002E7D32"/>
      <sz val="16"/>
    </font>
    <font>
      <name val="Calibri"/>
      <b val="1"/>
      <color rgb="00AD1457"/>
      <sz val="16"/>
    </font>
    <font>
      <name val="Calibri"/>
      <b val="1"/>
      <color rgb="00E53935"/>
      <sz val="16"/>
    </font>
    <font>
      <name val="Calibri"/>
      <b val="1"/>
      <color rgb="00FFFFFF"/>
      <sz val="28"/>
    </font>
    <font>
      <name val="Calibri"/>
      <i val="1"/>
      <color rgb="001565C0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color rgb="00B71C1C"/>
      <sz val="10"/>
    </font>
    <font>
      <name val="Calibri"/>
      <i val="1"/>
      <color rgb="005C35A1"/>
      <sz val="10"/>
    </font>
    <font>
      <name val="Calibri"/>
      <i val="1"/>
      <color rgb="00F57C00"/>
      <sz val="10"/>
    </font>
    <font>
      <name val="Calibri"/>
      <i val="1"/>
      <color rgb="001565C0"/>
      <sz val="10"/>
    </font>
    <font>
      <name val="Calibri"/>
      <i val="1"/>
      <color rgb="002E7D32"/>
      <sz val="10"/>
    </font>
    <font>
      <name val="Calibri"/>
      <i val="1"/>
      <color rgb="00AD1457"/>
      <sz val="10"/>
    </font>
    <font>
      <name val="Calibri"/>
      <b val="1"/>
      <color rgb="00000000"/>
      <sz val="10"/>
    </font>
    <font>
      <name val="Calibri"/>
      <b val="1"/>
      <color rgb="00F57C00"/>
      <sz val="13"/>
    </font>
    <font>
      <name val="Calibri"/>
      <i val="1"/>
      <color rgb="00000000"/>
      <sz val="10"/>
    </font>
  </fonts>
  <fills count="2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897B"/>
      </patternFill>
    </fill>
    <fill>
      <patternFill patternType="solid">
        <fgColor rgb="00E0F2F1"/>
      </patternFill>
    </fill>
    <fill>
      <patternFill patternType="solid">
        <fgColor rgb="005C35A1"/>
      </patternFill>
    </fill>
    <fill>
      <patternFill patternType="solid">
        <fgColor rgb="00EDE7F6"/>
      </patternFill>
    </fill>
    <fill>
      <patternFill patternType="solid">
        <fgColor rgb="00F57C00"/>
      </patternFill>
    </fill>
    <fill>
      <patternFill patternType="solid">
        <fgColor rgb="00FFF3E0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E53935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CDD2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165" fontId="10" fillId="1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166" fontId="11" fillId="12" borderId="1" applyAlignment="1" pivotButton="0" quotePrefix="0" xfId="0">
      <alignment horizontal="center" vertical="center" wrapText="1"/>
    </xf>
    <xf numFmtId="4" fontId="12" fillId="14" borderId="1" applyAlignment="1" pivotButton="0" quotePrefix="0" xfId="0">
      <alignment horizontal="center" vertical="center" wrapText="1"/>
    </xf>
    <xf numFmtId="4" fontId="13" fillId="16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165" fontId="14" fillId="2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9" fontId="17" fillId="17" borderId="1" applyAlignment="1" pivotButton="0" quotePrefix="0" xfId="0">
      <alignment horizontal="center" vertical="center" wrapText="1"/>
    </xf>
    <xf numFmtId="167" fontId="17" fillId="17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9" fontId="17" fillId="18" borderId="1" applyAlignment="1" pivotButton="0" quotePrefix="0" xfId="0">
      <alignment horizontal="center" vertical="center" wrapText="1"/>
    </xf>
    <xf numFmtId="167" fontId="17" fillId="18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9" fontId="19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center" vertical="center" wrapText="1"/>
    </xf>
    <xf numFmtId="170" fontId="20" fillId="19" borderId="1" applyAlignment="1" pivotButton="0" quotePrefix="0" xfId="0">
      <alignment horizontal="center" vertical="center" wrapText="1"/>
    </xf>
    <xf numFmtId="9" fontId="19" fillId="17" borderId="1" applyAlignment="1" pivotButton="0" quotePrefix="0" xfId="0">
      <alignment horizontal="center" vertical="center" wrapText="1"/>
    </xf>
    <xf numFmtId="169" fontId="19" fillId="18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9" fontId="19" fillId="18" borderId="1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21" fillId="6" borderId="0" applyAlignment="1" pivotButton="0" quotePrefix="0" xfId="0">
      <alignment horizontal="center" vertical="center" wrapText="1"/>
    </xf>
    <xf numFmtId="169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center" vertical="center" wrapText="1"/>
    </xf>
    <xf numFmtId="0" fontId="22" fillId="8" borderId="0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center" vertical="center" wrapText="1"/>
    </xf>
    <xf numFmtId="0" fontId="23" fillId="10" borderId="0" applyAlignment="1" pivotButton="0" quotePrefix="0" xfId="0">
      <alignment horizontal="center" vertical="center" wrapText="1"/>
    </xf>
    <xf numFmtId="3" fontId="19" fillId="17" borderId="1" applyAlignment="1" pivotButton="0" quotePrefix="0" xfId="0">
      <alignment horizontal="center" vertical="center" wrapText="1"/>
    </xf>
    <xf numFmtId="170" fontId="19" fillId="17" borderId="1" applyAlignment="1" pivotButton="0" quotePrefix="0" xfId="0">
      <alignment horizontal="center" vertical="center" wrapText="1"/>
    </xf>
    <xf numFmtId="171" fontId="19" fillId="17" borderId="1" applyAlignment="1" pivotButton="0" quotePrefix="0" xfId="0">
      <alignment horizontal="center" vertical="center" wrapText="1"/>
    </xf>
    <xf numFmtId="3" fontId="19" fillId="18" borderId="1" applyAlignment="1" pivotButton="0" quotePrefix="0" xfId="0">
      <alignment horizontal="center" vertical="center" wrapText="1"/>
    </xf>
    <xf numFmtId="170" fontId="19" fillId="18" borderId="1" applyAlignment="1" pivotButton="0" quotePrefix="0" xfId="0">
      <alignment horizontal="center" vertical="center" wrapText="1"/>
    </xf>
    <xf numFmtId="171" fontId="19" fillId="18" borderId="1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center" vertical="center" wrapText="1"/>
    </xf>
    <xf numFmtId="0" fontId="24" fillId="12" borderId="0" applyAlignment="1" pivotButton="0" quotePrefix="0" xfId="0">
      <alignment horizontal="center" vertical="center" wrapText="1"/>
    </xf>
    <xf numFmtId="0" fontId="18" fillId="13" borderId="0" applyAlignment="1" pivotButton="0" quotePrefix="0" xfId="0">
      <alignment horizontal="center" vertical="center" wrapText="1"/>
    </xf>
    <xf numFmtId="0" fontId="25" fillId="14" borderId="0" applyAlignment="1" pivotButton="0" quotePrefix="0" xfId="0">
      <alignment horizontal="center" vertical="center" wrapText="1"/>
    </xf>
    <xf numFmtId="4" fontId="19" fillId="17" borderId="1" applyAlignment="1" pivotButton="0" quotePrefix="0" xfId="0">
      <alignment horizontal="center" vertical="center" wrapText="1"/>
    </xf>
    <xf numFmtId="4" fontId="19" fillId="18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6" fillId="17" borderId="1" applyAlignment="1" pivotButton="0" quotePrefix="0" xfId="0">
      <alignment horizontal="left" vertical="center" wrapText="1"/>
    </xf>
    <xf numFmtId="0" fontId="27" fillId="20" borderId="1" applyAlignment="1" pivotButton="0" quotePrefix="0" xfId="0">
      <alignment horizontal="center" vertical="center" wrapText="1"/>
    </xf>
    <xf numFmtId="0" fontId="28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26" fillId="18" borderId="1" applyAlignment="1" pivotButton="0" quotePrefix="0" xfId="0">
      <alignment horizontal="left" vertical="center" wrapText="1"/>
    </xf>
    <xf numFmtId="0" fontId="28" fillId="18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169" fontId="27" fillId="20" borderId="1" applyAlignment="1" pivotButton="0" quotePrefix="0" xfId="0">
      <alignment horizontal="center" vertical="center" wrapText="1"/>
    </xf>
    <xf numFmtId="165" fontId="19" fillId="17" borderId="1" applyAlignment="1" pivotButton="0" quotePrefix="0" xfId="0">
      <alignment horizontal="center" vertical="center" wrapText="1"/>
    </xf>
    <xf numFmtId="167" fontId="19" fillId="17" borderId="1" applyAlignment="1" pivotButton="0" quotePrefix="0" xfId="0">
      <alignment horizontal="center" vertical="center" wrapText="1"/>
    </xf>
    <xf numFmtId="165" fontId="19" fillId="18" borderId="1" applyAlignment="1" pivotButton="0" quotePrefix="0" xfId="0">
      <alignment horizontal="center" vertical="center" wrapText="1"/>
    </xf>
    <xf numFmtId="167" fontId="19" fillId="18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center" vertical="center" wrapText="1"/>
    </xf>
    <xf numFmtId="167" fontId="5" fillId="2" borderId="1" applyAlignment="1" pivotButton="0" quotePrefix="0" xfId="0">
      <alignment horizontal="center" vertical="center" wrapText="1"/>
    </xf>
    <xf numFmtId="4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1">
    <dxf>
      <font>
        <name val="Calibri"/>
        <b val="1"/>
        <color rgb="001B5E20"/>
      </font>
      <fill>
        <patternFill patternType="solid">
          <fgColor rgb="00C8E6C9"/>
        </patternFill>
      </fill>
    </dxf>
    <dxf>
      <font>
        <b val="1"/>
        <color rgb="002E7D32"/>
      </font>
      <fill>
        <patternFill patternType="solid">
          <fgColor rgb="00E8F5E9"/>
        </patternFill>
      </fill>
    </dxf>
    <dxf>
      <font>
        <b val="1"/>
        <color rgb="00F9A825"/>
      </font>
      <fill>
        <patternFill patternType="solid">
          <fgColor rgb="00FFFDE7"/>
        </patternFill>
      </fill>
    </dxf>
    <dxf>
      <font>
        <b val="1"/>
        <color rgb="00E53935"/>
      </font>
      <fill>
        <patternFill patternType="solid">
          <fgColor rgb="00FFEBEE"/>
        </patternFill>
      </fill>
    </dxf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i val="1"/>
        <color rgb="00E53935"/>
      </font>
      <fill>
        <patternFill patternType="solid">
          <fgColor rgb="00FFEBEE"/>
        </patternFill>
      </fill>
    </dxf>
    <dxf>
      <fill>
        <patternFill patternType="solid">
          <fgColor rgb="00E8F5E9"/>
        </patternFill>
      </fill>
    </dxf>
    <dxf>
      <fill>
        <patternFill patternType="solid">
          <fgColor rgb="00FFEBEE"/>
        </patternFill>
      </fill>
    </dxf>
    <dxf>
      <font>
        <color rgb="002E7D32"/>
      </font>
      <fill>
        <patternFill patternType="solid">
          <fgColor rgb="00E8F5E9"/>
        </patternFill>
      </fill>
    </dxf>
    <dxf>
      <font>
        <color rgb="00E53935"/>
      </font>
      <fill>
        <patternFill patternType="solid">
          <f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Performance Overview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Summary'!B3</f>
            </strRef>
          </tx>
          <spPr>
            <a:ln>
              <a:prstDash val="solid"/>
            </a:ln>
          </spPr>
          <cat>
            <numRef>
              <f>'Monthly Summary'!$A$4:$A$15</f>
            </numRef>
          </cat>
          <val>
            <numRef>
              <f>'Monthly Summary'!$B$4:$B$15</f>
            </numRef>
          </val>
        </ser>
        <ser>
          <idx val="1"/>
          <order val="1"/>
          <tx>
            <strRef>
              <f>'Monthly Summary'!C3</f>
            </strRef>
          </tx>
          <spPr>
            <a:ln>
              <a:prstDash val="solid"/>
            </a:ln>
          </spPr>
          <cat>
            <numRef>
              <f>'Monthly Summary'!$A$4:$A$15</f>
            </numRef>
          </cat>
          <val>
            <numRef>
              <f>'Monthly Summary'!$C$4:$C$15</f>
            </numRef>
          </val>
        </ser>
        <ser>
          <idx val="2"/>
          <order val="2"/>
          <tx>
            <strRef>
              <f>'Monthly Summary'!D3</f>
            </strRef>
          </tx>
          <spPr>
            <a:ln>
              <a:prstDash val="solid"/>
            </a:ln>
          </spPr>
          <cat>
            <numRef>
              <f>'Monthly Summary'!$A$4:$A$15</f>
            </numRef>
          </cat>
          <val>
            <numRef>
              <f>'Monthly Summary'!$D$4:$D$15</f>
            </numRef>
          </val>
        </ser>
        <ser>
          <idx val="3"/>
          <order val="3"/>
          <tx>
            <strRef>
              <f>'Monthly Summary'!E3</f>
            </strRef>
          </tx>
          <spPr>
            <a:ln>
              <a:prstDash val="solid"/>
            </a:ln>
          </spPr>
          <cat>
            <numRef>
              <f>'Monthly Summary'!$A$4:$A$15</f>
            </numRef>
          </cat>
          <val>
            <numRef>
              <f>'Monthly Summary'!$E$4:$E$15</f>
            </numRef>
          </val>
        </ser>
        <ser>
          <idx val="4"/>
          <order val="4"/>
          <tx>
            <strRef>
              <f>'Monthly Summary'!K3</f>
            </strRef>
          </tx>
          <spPr>
            <a:ln>
              <a:prstDash val="solid"/>
            </a:ln>
          </spPr>
          <cat>
            <numRef>
              <f>'Monthly Summary'!$A$4:$A$15</f>
            </numRef>
          </cat>
          <val>
            <numRef>
              <f>'Monthly Summary'!$K$4:$K$15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1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1" ht="42" customHeight="1">
      <c r="B1" s="1" t="inlineStr">
        <is>
          <t>PERSONAL LIFE TRACKER 2026</t>
        </is>
      </c>
    </row>
    <row r="2" ht="24" customHeight="1">
      <c r="B2" s="2" t="inlineStr">
        <is>
          <t>Your daily companion for habits, health, and wealth  •  Tap to check, red = pending, green = done!</t>
        </is>
      </c>
    </row>
    <row r="3" ht="6" customHeight="1"/>
    <row r="4" ht="28" customHeight="1">
      <c r="B4" s="3">
        <f>TODAY()</f>
        <v/>
      </c>
    </row>
    <row r="5" ht="6" customHeight="1"/>
    <row r="6" ht="26" customHeight="1">
      <c r="B6" s="4" t="inlineStr">
        <is>
          <t>CURRENT YEAR PERFORMANCE  —  KEY METRICS</t>
        </is>
      </c>
    </row>
    <row r="7" ht="26" customHeight="1">
      <c r="B7" s="5" t="inlineStr">
        <is>
          <t>🕌 SALAT</t>
        </is>
      </c>
      <c r="D7" s="6" t="inlineStr">
        <is>
          <t>💪 GYM</t>
        </is>
      </c>
      <c r="F7" s="7" t="inlineStr">
        <is>
          <t>💊 SUPPLEMENTS</t>
        </is>
      </c>
      <c r="H7" s="8" t="inlineStr">
        <is>
          <t>👟 STEPS</t>
        </is>
      </c>
    </row>
    <row r="8" ht="36" customHeight="1">
      <c r="B8" s="9">
        <f>IFERROR(COUNTIF('Salat Tracker'!I$4:I$368,1)/COUNTA('Salat Tracker'!A$4:A$368),0)</f>
        <v/>
      </c>
      <c r="D8" s="10">
        <f>IFERROR(COUNTIFS('Gym Routine'!C$4:C$368,"Grind Day",'Gym Routine'!D$4:D$368,1)/COUNTIF('Gym Routine'!C$4:C$368,"Grind Day"),0)</f>
        <v/>
      </c>
      <c r="F8" s="11">
        <f>IFERROR(COUNTIF('Supplements'!E$4:E$368,1)/COUNTA('Supplements'!A$4:A$368),0)</f>
        <v/>
      </c>
      <c r="H8" s="12">
        <f>IFERROR(COUNTIF('Steps Tracker'!E$4:E$368,1)/COUNTA('Steps Tracker'!A$4:A$368),0)</f>
        <v/>
      </c>
    </row>
    <row r="9" ht="20" customHeight="1">
      <c r="B9" s="13" t="inlineStr">
        <is>
          <t>Prayers 100%</t>
        </is>
      </c>
      <c r="D9" s="14" t="inlineStr">
        <is>
          <t>Workouts Done</t>
        </is>
      </c>
      <c r="F9" s="15" t="inlineStr">
        <is>
          <t>Both Taken</t>
        </is>
      </c>
      <c r="H9" s="16" t="inlineStr">
        <is>
          <t>Goal Met Days</t>
        </is>
      </c>
    </row>
    <row r="10" ht="6" customHeight="1"/>
    <row r="11" ht="26" customHeight="1">
      <c r="B11" s="17" t="inlineStr">
        <is>
          <t>🏃 RUNNING</t>
        </is>
      </c>
      <c r="D11" s="18" t="inlineStr">
        <is>
          <t>💰 INCOME YTD</t>
        </is>
      </c>
      <c r="F11" s="19" t="inlineStr">
        <is>
          <t>📉 EXPENSE YTD</t>
        </is>
      </c>
      <c r="H11" s="5" t="inlineStr">
        <is>
          <t>📈 SAVINGS YTD</t>
        </is>
      </c>
    </row>
    <row r="12" ht="36" customHeight="1">
      <c r="B12" s="20">
        <f>IFERROR(SUM('Running Tracker'!D$4:D$368),0)</f>
        <v/>
      </c>
      <c r="D12" s="21">
        <f>IFERROR(SUM('Expense &amp; Savings'!E$4:E$368),0)</f>
        <v/>
      </c>
      <c r="F12" s="22">
        <f>IFERROR(SUM('Expense &amp; Savings'!F$4:F$368),0)</f>
        <v/>
      </c>
      <c r="H12" s="23">
        <f>IFERROR(SUM('Expense &amp; Savings'!E$4:E$368)-SUM('Expense &amp; Savings'!F$4:F$368),0)</f>
        <v/>
      </c>
    </row>
    <row r="13" ht="20" customHeight="1">
      <c r="B13" s="24" t="inlineStr">
        <is>
          <t>Total KM Run</t>
        </is>
      </c>
      <c r="D13" s="25" t="inlineStr">
        <is>
          <t>All Income</t>
        </is>
      </c>
      <c r="F13" s="26" t="inlineStr">
        <is>
          <t>All Expenses</t>
        </is>
      </c>
      <c r="H13" s="13" t="inlineStr">
        <is>
          <t>Net Savings</t>
        </is>
      </c>
    </row>
    <row r="14" ht="6" customHeight="1"/>
    <row r="15" ht="26" customHeight="1">
      <c r="B15" s="4" t="inlineStr">
        <is>
          <t>OVERALL LIFE SCORE 2026</t>
        </is>
      </c>
    </row>
    <row r="16" ht="38" customHeight="1">
      <c r="B16" s="27">
        <f>'Monthly Summary'!K16</f>
        <v/>
      </c>
    </row>
    <row r="17" ht="20" customHeight="1"/>
    <row r="18" ht="20" customHeight="1">
      <c r="B18" s="28" t="inlineStr">
        <is>
          <t>Salat 25%  +  Gym 20%  +  Supplements 15%  +  Steps 15%  +  Running 10%  +  Savings 15%</t>
        </is>
      </c>
    </row>
    <row r="19" ht="6" customHeight="1"/>
    <row r="20" ht="26" customHeight="1">
      <c r="B20" s="29" t="inlineStr">
        <is>
          <t>MONTHLY PERFORMANCE AT A GLANCE</t>
        </is>
      </c>
    </row>
    <row r="21" ht="24" customHeight="1">
      <c r="B21" s="30" t="inlineStr">
        <is>
          <t>Month</t>
        </is>
      </c>
      <c r="C21" s="30" t="inlineStr">
        <is>
          <t>Salat %</t>
        </is>
      </c>
      <c r="D21" s="30" t="inlineStr">
        <is>
          <t>Gym %</t>
        </is>
      </c>
      <c r="E21" s="30" t="inlineStr">
        <is>
          <t>Suppl.%</t>
        </is>
      </c>
      <c r="F21" s="30" t="inlineStr">
        <is>
          <t>Steps %</t>
        </is>
      </c>
      <c r="G21" s="30" t="inlineStr">
        <is>
          <t>Running KM</t>
        </is>
      </c>
      <c r="H21" s="30" t="inlineStr">
        <is>
          <t>Overall</t>
        </is>
      </c>
    </row>
    <row r="22" ht="20" customHeight="1">
      <c r="B22" s="31" t="inlineStr">
        <is>
          <t>January</t>
        </is>
      </c>
      <c r="C22" s="32">
        <f>'Monthly Summary'!B4</f>
        <v/>
      </c>
      <c r="D22" s="32">
        <f>'Monthly Summary'!C4</f>
        <v/>
      </c>
      <c r="E22" s="32">
        <f>'Monthly Summary'!D4</f>
        <v/>
      </c>
      <c r="F22" s="32">
        <f>'Monthly Summary'!E4</f>
        <v/>
      </c>
      <c r="G22" s="33">
        <f>'Monthly Summary'!F4</f>
        <v/>
      </c>
      <c r="H22" s="32">
        <f>'Monthly Summary'!K4</f>
        <v/>
      </c>
    </row>
    <row r="23" ht="20" customHeight="1">
      <c r="B23" s="34" t="inlineStr">
        <is>
          <t>February</t>
        </is>
      </c>
      <c r="C23" s="35">
        <f>'Monthly Summary'!B5</f>
        <v/>
      </c>
      <c r="D23" s="35">
        <f>'Monthly Summary'!C5</f>
        <v/>
      </c>
      <c r="E23" s="35">
        <f>'Monthly Summary'!D5</f>
        <v/>
      </c>
      <c r="F23" s="35">
        <f>'Monthly Summary'!E5</f>
        <v/>
      </c>
      <c r="G23" s="36">
        <f>'Monthly Summary'!F5</f>
        <v/>
      </c>
      <c r="H23" s="35">
        <f>'Monthly Summary'!K5</f>
        <v/>
      </c>
    </row>
    <row r="24" ht="20" customHeight="1">
      <c r="B24" s="31" t="inlineStr">
        <is>
          <t>March</t>
        </is>
      </c>
      <c r="C24" s="32">
        <f>'Monthly Summary'!B6</f>
        <v/>
      </c>
      <c r="D24" s="32">
        <f>'Monthly Summary'!C6</f>
        <v/>
      </c>
      <c r="E24" s="32">
        <f>'Monthly Summary'!D6</f>
        <v/>
      </c>
      <c r="F24" s="32">
        <f>'Monthly Summary'!E6</f>
        <v/>
      </c>
      <c r="G24" s="33">
        <f>'Monthly Summary'!F6</f>
        <v/>
      </c>
      <c r="H24" s="32">
        <f>'Monthly Summary'!K6</f>
        <v/>
      </c>
    </row>
    <row r="25" ht="20" customHeight="1">
      <c r="B25" s="34" t="inlineStr">
        <is>
          <t>April</t>
        </is>
      </c>
      <c r="C25" s="35">
        <f>'Monthly Summary'!B7</f>
        <v/>
      </c>
      <c r="D25" s="35">
        <f>'Monthly Summary'!C7</f>
        <v/>
      </c>
      <c r="E25" s="35">
        <f>'Monthly Summary'!D7</f>
        <v/>
      </c>
      <c r="F25" s="35">
        <f>'Monthly Summary'!E7</f>
        <v/>
      </c>
      <c r="G25" s="36">
        <f>'Monthly Summary'!F7</f>
        <v/>
      </c>
      <c r="H25" s="35">
        <f>'Monthly Summary'!K7</f>
        <v/>
      </c>
    </row>
    <row r="26" ht="20" customHeight="1">
      <c r="B26" s="31" t="inlineStr">
        <is>
          <t>May</t>
        </is>
      </c>
      <c r="C26" s="32">
        <f>'Monthly Summary'!B8</f>
        <v/>
      </c>
      <c r="D26" s="32">
        <f>'Monthly Summary'!C8</f>
        <v/>
      </c>
      <c r="E26" s="32">
        <f>'Monthly Summary'!D8</f>
        <v/>
      </c>
      <c r="F26" s="32">
        <f>'Monthly Summary'!E8</f>
        <v/>
      </c>
      <c r="G26" s="33">
        <f>'Monthly Summary'!F8</f>
        <v/>
      </c>
      <c r="H26" s="32">
        <f>'Monthly Summary'!K8</f>
        <v/>
      </c>
    </row>
    <row r="27" ht="20" customHeight="1">
      <c r="B27" s="34" t="inlineStr">
        <is>
          <t>June</t>
        </is>
      </c>
      <c r="C27" s="35">
        <f>'Monthly Summary'!B9</f>
        <v/>
      </c>
      <c r="D27" s="35">
        <f>'Monthly Summary'!C9</f>
        <v/>
      </c>
      <c r="E27" s="35">
        <f>'Monthly Summary'!D9</f>
        <v/>
      </c>
      <c r="F27" s="35">
        <f>'Monthly Summary'!E9</f>
        <v/>
      </c>
      <c r="G27" s="36">
        <f>'Monthly Summary'!F9</f>
        <v/>
      </c>
      <c r="H27" s="35">
        <f>'Monthly Summary'!K9</f>
        <v/>
      </c>
    </row>
    <row r="28" ht="20" customHeight="1">
      <c r="B28" s="31" t="inlineStr">
        <is>
          <t>July</t>
        </is>
      </c>
      <c r="C28" s="32">
        <f>'Monthly Summary'!B10</f>
        <v/>
      </c>
      <c r="D28" s="32">
        <f>'Monthly Summary'!C10</f>
        <v/>
      </c>
      <c r="E28" s="32">
        <f>'Monthly Summary'!D10</f>
        <v/>
      </c>
      <c r="F28" s="32">
        <f>'Monthly Summary'!E10</f>
        <v/>
      </c>
      <c r="G28" s="33">
        <f>'Monthly Summary'!F10</f>
        <v/>
      </c>
      <c r="H28" s="32">
        <f>'Monthly Summary'!K10</f>
        <v/>
      </c>
    </row>
    <row r="29" ht="20" customHeight="1">
      <c r="B29" s="34" t="inlineStr">
        <is>
          <t>August</t>
        </is>
      </c>
      <c r="C29" s="35">
        <f>'Monthly Summary'!B11</f>
        <v/>
      </c>
      <c r="D29" s="35">
        <f>'Monthly Summary'!C11</f>
        <v/>
      </c>
      <c r="E29" s="35">
        <f>'Monthly Summary'!D11</f>
        <v/>
      </c>
      <c r="F29" s="35">
        <f>'Monthly Summary'!E11</f>
        <v/>
      </c>
      <c r="G29" s="36">
        <f>'Monthly Summary'!F11</f>
        <v/>
      </c>
      <c r="H29" s="35">
        <f>'Monthly Summary'!K11</f>
        <v/>
      </c>
    </row>
    <row r="30" ht="20" customHeight="1">
      <c r="B30" s="31" t="inlineStr">
        <is>
          <t>September</t>
        </is>
      </c>
      <c r="C30" s="32">
        <f>'Monthly Summary'!B12</f>
        <v/>
      </c>
      <c r="D30" s="32">
        <f>'Monthly Summary'!C12</f>
        <v/>
      </c>
      <c r="E30" s="32">
        <f>'Monthly Summary'!D12</f>
        <v/>
      </c>
      <c r="F30" s="32">
        <f>'Monthly Summary'!E12</f>
        <v/>
      </c>
      <c r="G30" s="33">
        <f>'Monthly Summary'!F12</f>
        <v/>
      </c>
      <c r="H30" s="32">
        <f>'Monthly Summary'!K12</f>
        <v/>
      </c>
    </row>
    <row r="31" ht="20" customHeight="1">
      <c r="B31" s="34" t="inlineStr">
        <is>
          <t>October</t>
        </is>
      </c>
      <c r="C31" s="35">
        <f>'Monthly Summary'!B13</f>
        <v/>
      </c>
      <c r="D31" s="35">
        <f>'Monthly Summary'!C13</f>
        <v/>
      </c>
      <c r="E31" s="35">
        <f>'Monthly Summary'!D13</f>
        <v/>
      </c>
      <c r="F31" s="35">
        <f>'Monthly Summary'!E13</f>
        <v/>
      </c>
      <c r="G31" s="36">
        <f>'Monthly Summary'!F13</f>
        <v/>
      </c>
      <c r="H31" s="35">
        <f>'Monthly Summary'!K13</f>
        <v/>
      </c>
    </row>
    <row r="32" ht="20" customHeight="1">
      <c r="B32" s="31" t="inlineStr">
        <is>
          <t>November</t>
        </is>
      </c>
      <c r="C32" s="32">
        <f>'Monthly Summary'!B14</f>
        <v/>
      </c>
      <c r="D32" s="32">
        <f>'Monthly Summary'!C14</f>
        <v/>
      </c>
      <c r="E32" s="32">
        <f>'Monthly Summary'!D14</f>
        <v/>
      </c>
      <c r="F32" s="32">
        <f>'Monthly Summary'!E14</f>
        <v/>
      </c>
      <c r="G32" s="33">
        <f>'Monthly Summary'!F14</f>
        <v/>
      </c>
      <c r="H32" s="32">
        <f>'Monthly Summary'!K14</f>
        <v/>
      </c>
    </row>
    <row r="33" ht="20" customHeight="1">
      <c r="B33" s="34" t="inlineStr">
        <is>
          <t>December</t>
        </is>
      </c>
      <c r="C33" s="35">
        <f>'Monthly Summary'!B15</f>
        <v/>
      </c>
      <c r="D33" s="35">
        <f>'Monthly Summary'!C15</f>
        <v/>
      </c>
      <c r="E33" s="35">
        <f>'Monthly Summary'!D15</f>
        <v/>
      </c>
      <c r="F33" s="35">
        <f>'Monthly Summary'!E15</f>
        <v/>
      </c>
      <c r="G33" s="36">
        <f>'Monthly Summary'!F15</f>
        <v/>
      </c>
      <c r="H33" s="35">
        <f>'Monthly Summary'!K15</f>
        <v/>
      </c>
    </row>
  </sheetData>
  <mergeCells count="32">
    <mergeCell ref="H13"/>
    <mergeCell ref="F11:G11"/>
    <mergeCell ref="B7:C7"/>
    <mergeCell ref="H12"/>
    <mergeCell ref="B6:H6"/>
    <mergeCell ref="B15:H15"/>
    <mergeCell ref="B20:H20"/>
    <mergeCell ref="F7:G7"/>
    <mergeCell ref="B12:C12"/>
    <mergeCell ref="F12:G12"/>
    <mergeCell ref="H8"/>
    <mergeCell ref="B11:C11"/>
    <mergeCell ref="B4:H4"/>
    <mergeCell ref="D11:E11"/>
    <mergeCell ref="D13:E13"/>
    <mergeCell ref="B8:C8"/>
    <mergeCell ref="F8:G8"/>
    <mergeCell ref="B13:C13"/>
    <mergeCell ref="H9"/>
    <mergeCell ref="D7:E7"/>
    <mergeCell ref="B18:H18"/>
    <mergeCell ref="B2:H2"/>
    <mergeCell ref="F13:G13"/>
    <mergeCell ref="B9:C9"/>
    <mergeCell ref="D9:E9"/>
    <mergeCell ref="F9:G9"/>
    <mergeCell ref="D12:E12"/>
    <mergeCell ref="D8:E8"/>
    <mergeCell ref="B1:H1"/>
    <mergeCell ref="H11"/>
    <mergeCell ref="H7"/>
    <mergeCell ref="B16:H17"/>
  </mergeCells>
  <conditionalFormatting sqref="H22:H33">
    <cfRule type="colorScale" priority="1">
      <colorScale>
        <cfvo type="min"/>
        <cfvo type="percentile" val="50"/>
        <cfvo type="max"/>
        <color rgb="00E53935"/>
        <color rgb="00F9A825"/>
        <color rgb="002E7D32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897B"/>
    <outlinePr summaryBelow="1" summaryRight="1"/>
    <pageSetUpPr/>
  </sheetPr>
  <dimension ref="A1:J3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  <col width="14" customWidth="1" min="9" max="9"/>
    <col width="25" customWidth="1" min="10" max="10"/>
  </cols>
  <sheetData>
    <row r="1" ht="32" customHeight="1">
      <c r="A1" s="37" t="inlineStr">
        <is>
          <t>🌙  SALAT TRACKER 2026</t>
        </is>
      </c>
    </row>
    <row r="2" ht="24" customHeight="1">
      <c r="A2" s="38" t="inlineStr">
        <is>
          <t>Tap a prayer cell to check ✓ (green) or uncheck (red)   •   All cells start RED — go green as you pray!</t>
        </is>
      </c>
    </row>
    <row r="3" ht="28" customHeight="1">
      <c r="A3" s="5" t="inlineStr">
        <is>
          <t>Date</t>
        </is>
      </c>
      <c r="B3" s="5" t="inlineStr">
        <is>
          <t>Day</t>
        </is>
      </c>
      <c r="C3" s="5" t="inlineStr">
        <is>
          <t>Fajr</t>
        </is>
      </c>
      <c r="D3" s="5" t="inlineStr">
        <is>
          <t>Dhuhr</t>
        </is>
      </c>
      <c r="E3" s="5" t="inlineStr">
        <is>
          <t>Asr</t>
        </is>
      </c>
      <c r="F3" s="5" t="inlineStr">
        <is>
          <t>Maghrib</t>
        </is>
      </c>
      <c r="G3" s="5" t="inlineStr">
        <is>
          <t>Isha</t>
        </is>
      </c>
      <c r="H3" s="5" t="inlineStr">
        <is>
          <t>Total Prayers</t>
        </is>
      </c>
      <c r="I3" s="5" t="inlineStr">
        <is>
          <t>Completion %</t>
        </is>
      </c>
      <c r="J3" s="5" t="inlineStr">
        <is>
          <t>Notes</t>
        </is>
      </c>
    </row>
    <row r="4" ht="22" customHeight="1">
      <c r="A4" s="39" t="n">
        <v>46023</v>
      </c>
      <c r="B4" s="40" t="inlineStr">
        <is>
          <t>Thursday</t>
        </is>
      </c>
      <c r="C4" s="41" t="n">
        <v>0</v>
      </c>
      <c r="D4" s="41" t="n">
        <v>0</v>
      </c>
      <c r="E4" s="41" t="n">
        <v>0</v>
      </c>
      <c r="F4" s="41" t="n">
        <v>0</v>
      </c>
      <c r="G4" s="41" t="n">
        <v>0</v>
      </c>
      <c r="H4" s="40">
        <f>COUNTIF(C4:G4,1)</f>
        <v/>
      </c>
      <c r="I4" s="42">
        <f>H4/5</f>
        <v/>
      </c>
      <c r="J4" s="40" t="inlineStr"/>
    </row>
    <row r="5" ht="22" customHeight="1">
      <c r="A5" s="43" t="n">
        <v>46024</v>
      </c>
      <c r="B5" s="44" t="inlineStr">
        <is>
          <t>Friday</t>
        </is>
      </c>
      <c r="C5" s="41" t="n">
        <v>0</v>
      </c>
      <c r="D5" s="41" t="n">
        <v>0</v>
      </c>
      <c r="E5" s="41" t="n">
        <v>0</v>
      </c>
      <c r="F5" s="41" t="n">
        <v>0</v>
      </c>
      <c r="G5" s="41" t="n">
        <v>0</v>
      </c>
      <c r="H5" s="44">
        <f>COUNTIF(C5:G5,1)</f>
        <v/>
      </c>
      <c r="I5" s="45">
        <f>H5/5</f>
        <v/>
      </c>
      <c r="J5" s="44" t="inlineStr"/>
    </row>
    <row r="6" ht="22" customHeight="1">
      <c r="A6" s="39" t="n">
        <v>46025</v>
      </c>
      <c r="B6" s="40" t="inlineStr">
        <is>
          <t>Saturday</t>
        </is>
      </c>
      <c r="C6" s="41" t="n">
        <v>0</v>
      </c>
      <c r="D6" s="41" t="n">
        <v>0</v>
      </c>
      <c r="E6" s="41" t="n">
        <v>0</v>
      </c>
      <c r="F6" s="41" t="n">
        <v>0</v>
      </c>
      <c r="G6" s="41" t="n">
        <v>0</v>
      </c>
      <c r="H6" s="40">
        <f>COUNTIF(C6:G6,1)</f>
        <v/>
      </c>
      <c r="I6" s="42">
        <f>H6/5</f>
        <v/>
      </c>
      <c r="J6" s="40" t="inlineStr"/>
    </row>
    <row r="7" ht="22" customHeight="1">
      <c r="A7" s="43" t="n">
        <v>46026</v>
      </c>
      <c r="B7" s="44" t="inlineStr">
        <is>
          <t>Sunday</t>
        </is>
      </c>
      <c r="C7" s="41" t="n">
        <v>0</v>
      </c>
      <c r="D7" s="41" t="n">
        <v>0</v>
      </c>
      <c r="E7" s="41" t="n">
        <v>0</v>
      </c>
      <c r="F7" s="41" t="n">
        <v>0</v>
      </c>
      <c r="G7" s="41" t="n">
        <v>0</v>
      </c>
      <c r="H7" s="44">
        <f>COUNTIF(C7:G7,1)</f>
        <v/>
      </c>
      <c r="I7" s="45">
        <f>H7/5</f>
        <v/>
      </c>
      <c r="J7" s="44" t="inlineStr"/>
    </row>
    <row r="8" ht="22" customHeight="1">
      <c r="A8" s="39" t="n">
        <v>46027</v>
      </c>
      <c r="B8" s="40" t="inlineStr">
        <is>
          <t>Monday</t>
        </is>
      </c>
      <c r="C8" s="41" t="n">
        <v>0</v>
      </c>
      <c r="D8" s="41" t="n">
        <v>0</v>
      </c>
      <c r="E8" s="41" t="n">
        <v>0</v>
      </c>
      <c r="F8" s="41" t="n">
        <v>0</v>
      </c>
      <c r="G8" s="41" t="n">
        <v>0</v>
      </c>
      <c r="H8" s="40">
        <f>COUNTIF(C8:G8,1)</f>
        <v/>
      </c>
      <c r="I8" s="42">
        <f>H8/5</f>
        <v/>
      </c>
      <c r="J8" s="40" t="inlineStr"/>
    </row>
    <row r="9" ht="22" customHeight="1">
      <c r="A9" s="43" t="n">
        <v>46028</v>
      </c>
      <c r="B9" s="44" t="inlineStr">
        <is>
          <t>Tuesday</t>
        </is>
      </c>
      <c r="C9" s="41" t="n">
        <v>0</v>
      </c>
      <c r="D9" s="41" t="n">
        <v>0</v>
      </c>
      <c r="E9" s="41" t="n">
        <v>0</v>
      </c>
      <c r="F9" s="41" t="n">
        <v>0</v>
      </c>
      <c r="G9" s="41" t="n">
        <v>0</v>
      </c>
      <c r="H9" s="44">
        <f>COUNTIF(C9:G9,1)</f>
        <v/>
      </c>
      <c r="I9" s="45">
        <f>H9/5</f>
        <v/>
      </c>
      <c r="J9" s="44" t="inlineStr"/>
    </row>
    <row r="10" ht="22" customHeight="1">
      <c r="A10" s="39" t="n">
        <v>46029</v>
      </c>
      <c r="B10" s="40" t="inlineStr">
        <is>
          <t>Wednesday</t>
        </is>
      </c>
      <c r="C10" s="41" t="n">
        <v>0</v>
      </c>
      <c r="D10" s="41" t="n">
        <v>0</v>
      </c>
      <c r="E10" s="41" t="n">
        <v>0</v>
      </c>
      <c r="F10" s="41" t="n">
        <v>0</v>
      </c>
      <c r="G10" s="41" t="n">
        <v>0</v>
      </c>
      <c r="H10" s="40">
        <f>COUNTIF(C10:G10,1)</f>
        <v/>
      </c>
      <c r="I10" s="42">
        <f>H10/5</f>
        <v/>
      </c>
      <c r="J10" s="40" t="inlineStr"/>
    </row>
    <row r="11" ht="22" customHeight="1">
      <c r="A11" s="43" t="n">
        <v>46030</v>
      </c>
      <c r="B11" s="44" t="inlineStr">
        <is>
          <t>Thursday</t>
        </is>
      </c>
      <c r="C11" s="41" t="n">
        <v>0</v>
      </c>
      <c r="D11" s="41" t="n">
        <v>0</v>
      </c>
      <c r="E11" s="41" t="n">
        <v>0</v>
      </c>
      <c r="F11" s="41" t="n">
        <v>0</v>
      </c>
      <c r="G11" s="41" t="n">
        <v>0</v>
      </c>
      <c r="H11" s="44">
        <f>COUNTIF(C11:G11,1)</f>
        <v/>
      </c>
      <c r="I11" s="45">
        <f>H11/5</f>
        <v/>
      </c>
      <c r="J11" s="44" t="inlineStr"/>
    </row>
    <row r="12" ht="22" customHeight="1">
      <c r="A12" s="39" t="n">
        <v>46031</v>
      </c>
      <c r="B12" s="40" t="inlineStr">
        <is>
          <t>Friday</t>
        </is>
      </c>
      <c r="C12" s="41" t="n">
        <v>0</v>
      </c>
      <c r="D12" s="41" t="n">
        <v>0</v>
      </c>
      <c r="E12" s="41" t="n">
        <v>0</v>
      </c>
      <c r="F12" s="41" t="n">
        <v>0</v>
      </c>
      <c r="G12" s="41" t="n">
        <v>0</v>
      </c>
      <c r="H12" s="40">
        <f>COUNTIF(C12:G12,1)</f>
        <v/>
      </c>
      <c r="I12" s="42">
        <f>H12/5</f>
        <v/>
      </c>
      <c r="J12" s="40" t="inlineStr"/>
    </row>
    <row r="13" ht="22" customHeight="1">
      <c r="A13" s="43" t="n">
        <v>46032</v>
      </c>
      <c r="B13" s="44" t="inlineStr">
        <is>
          <t>Saturday</t>
        </is>
      </c>
      <c r="C13" s="41" t="n">
        <v>0</v>
      </c>
      <c r="D13" s="41" t="n">
        <v>0</v>
      </c>
      <c r="E13" s="41" t="n">
        <v>0</v>
      </c>
      <c r="F13" s="41" t="n">
        <v>0</v>
      </c>
      <c r="G13" s="41" t="n">
        <v>0</v>
      </c>
      <c r="H13" s="44">
        <f>COUNTIF(C13:G13,1)</f>
        <v/>
      </c>
      <c r="I13" s="45">
        <f>H13/5</f>
        <v/>
      </c>
      <c r="J13" s="44" t="inlineStr"/>
    </row>
    <row r="14" ht="22" customHeight="1">
      <c r="A14" s="39" t="n">
        <v>46033</v>
      </c>
      <c r="B14" s="40" t="inlineStr">
        <is>
          <t>Sunday</t>
        </is>
      </c>
      <c r="C14" s="41" t="n">
        <v>0</v>
      </c>
      <c r="D14" s="41" t="n">
        <v>0</v>
      </c>
      <c r="E14" s="41" t="n">
        <v>0</v>
      </c>
      <c r="F14" s="41" t="n">
        <v>0</v>
      </c>
      <c r="G14" s="41" t="n">
        <v>0</v>
      </c>
      <c r="H14" s="40">
        <f>COUNTIF(C14:G14,1)</f>
        <v/>
      </c>
      <c r="I14" s="42">
        <f>H14/5</f>
        <v/>
      </c>
      <c r="J14" s="40" t="inlineStr"/>
    </row>
    <row r="15" ht="22" customHeight="1">
      <c r="A15" s="43" t="n">
        <v>46034</v>
      </c>
      <c r="B15" s="44" t="inlineStr">
        <is>
          <t>Monday</t>
        </is>
      </c>
      <c r="C15" s="41" t="n">
        <v>0</v>
      </c>
      <c r="D15" s="41" t="n">
        <v>0</v>
      </c>
      <c r="E15" s="41" t="n">
        <v>0</v>
      </c>
      <c r="F15" s="41" t="n">
        <v>0</v>
      </c>
      <c r="G15" s="41" t="n">
        <v>0</v>
      </c>
      <c r="H15" s="44">
        <f>COUNTIF(C15:G15,1)</f>
        <v/>
      </c>
      <c r="I15" s="45">
        <f>H15/5</f>
        <v/>
      </c>
      <c r="J15" s="44" t="inlineStr"/>
    </row>
    <row r="16" ht="22" customHeight="1">
      <c r="A16" s="39" t="n">
        <v>46035</v>
      </c>
      <c r="B16" s="40" t="inlineStr">
        <is>
          <t>Tuesday</t>
        </is>
      </c>
      <c r="C16" s="41" t="n">
        <v>0</v>
      </c>
      <c r="D16" s="41" t="n">
        <v>0</v>
      </c>
      <c r="E16" s="41" t="n">
        <v>0</v>
      </c>
      <c r="F16" s="41" t="n">
        <v>0</v>
      </c>
      <c r="G16" s="41" t="n">
        <v>0</v>
      </c>
      <c r="H16" s="40">
        <f>COUNTIF(C16:G16,1)</f>
        <v/>
      </c>
      <c r="I16" s="42">
        <f>H16/5</f>
        <v/>
      </c>
      <c r="J16" s="40" t="inlineStr"/>
    </row>
    <row r="17" ht="22" customHeight="1">
      <c r="A17" s="43" t="n">
        <v>46036</v>
      </c>
      <c r="B17" s="44" t="inlineStr">
        <is>
          <t>Wednesday</t>
        </is>
      </c>
      <c r="C17" s="41" t="n">
        <v>0</v>
      </c>
      <c r="D17" s="41" t="n">
        <v>0</v>
      </c>
      <c r="E17" s="41" t="n">
        <v>0</v>
      </c>
      <c r="F17" s="41" t="n">
        <v>0</v>
      </c>
      <c r="G17" s="41" t="n">
        <v>0</v>
      </c>
      <c r="H17" s="44">
        <f>COUNTIF(C17:G17,1)</f>
        <v/>
      </c>
      <c r="I17" s="45">
        <f>H17/5</f>
        <v/>
      </c>
      <c r="J17" s="44" t="inlineStr"/>
    </row>
    <row r="18" ht="22" customHeight="1">
      <c r="A18" s="39" t="n">
        <v>46037</v>
      </c>
      <c r="B18" s="40" t="inlineStr">
        <is>
          <t>Thursday</t>
        </is>
      </c>
      <c r="C18" s="41" t="n">
        <v>0</v>
      </c>
      <c r="D18" s="41" t="n">
        <v>0</v>
      </c>
      <c r="E18" s="41" t="n">
        <v>0</v>
      </c>
      <c r="F18" s="41" t="n">
        <v>0</v>
      </c>
      <c r="G18" s="41" t="n">
        <v>0</v>
      </c>
      <c r="H18" s="40">
        <f>COUNTIF(C18:G18,1)</f>
        <v/>
      </c>
      <c r="I18" s="42">
        <f>H18/5</f>
        <v/>
      </c>
      <c r="J18" s="40" t="inlineStr"/>
    </row>
    <row r="19" ht="22" customHeight="1">
      <c r="A19" s="43" t="n">
        <v>46038</v>
      </c>
      <c r="B19" s="44" t="inlineStr">
        <is>
          <t>Friday</t>
        </is>
      </c>
      <c r="C19" s="41" t="n">
        <v>0</v>
      </c>
      <c r="D19" s="41" t="n">
        <v>0</v>
      </c>
      <c r="E19" s="41" t="n">
        <v>0</v>
      </c>
      <c r="F19" s="41" t="n">
        <v>0</v>
      </c>
      <c r="G19" s="41" t="n">
        <v>0</v>
      </c>
      <c r="H19" s="44">
        <f>COUNTIF(C19:G19,1)</f>
        <v/>
      </c>
      <c r="I19" s="45">
        <f>H19/5</f>
        <v/>
      </c>
      <c r="J19" s="44" t="inlineStr"/>
    </row>
    <row r="20" ht="22" customHeight="1">
      <c r="A20" s="39" t="n">
        <v>46039</v>
      </c>
      <c r="B20" s="40" t="inlineStr">
        <is>
          <t>Saturday</t>
        </is>
      </c>
      <c r="C20" s="41" t="n">
        <v>0</v>
      </c>
      <c r="D20" s="41" t="n">
        <v>0</v>
      </c>
      <c r="E20" s="41" t="n">
        <v>0</v>
      </c>
      <c r="F20" s="41" t="n">
        <v>0</v>
      </c>
      <c r="G20" s="41" t="n">
        <v>0</v>
      </c>
      <c r="H20" s="40">
        <f>COUNTIF(C20:G20,1)</f>
        <v/>
      </c>
      <c r="I20" s="42">
        <f>H20/5</f>
        <v/>
      </c>
      <c r="J20" s="40" t="inlineStr"/>
    </row>
    <row r="21" ht="22" customHeight="1">
      <c r="A21" s="43" t="n">
        <v>46040</v>
      </c>
      <c r="B21" s="44" t="inlineStr">
        <is>
          <t>Sunday</t>
        </is>
      </c>
      <c r="C21" s="41" t="n">
        <v>0</v>
      </c>
      <c r="D21" s="41" t="n">
        <v>0</v>
      </c>
      <c r="E21" s="41" t="n">
        <v>0</v>
      </c>
      <c r="F21" s="41" t="n">
        <v>0</v>
      </c>
      <c r="G21" s="41" t="n">
        <v>0</v>
      </c>
      <c r="H21" s="44">
        <f>COUNTIF(C21:G21,1)</f>
        <v/>
      </c>
      <c r="I21" s="45">
        <f>H21/5</f>
        <v/>
      </c>
      <c r="J21" s="44" t="inlineStr"/>
    </row>
    <row r="22" ht="22" customHeight="1">
      <c r="A22" s="39" t="n">
        <v>46041</v>
      </c>
      <c r="B22" s="40" t="inlineStr">
        <is>
          <t>Monday</t>
        </is>
      </c>
      <c r="C22" s="41" t="n">
        <v>0</v>
      </c>
      <c r="D22" s="41" t="n">
        <v>0</v>
      </c>
      <c r="E22" s="41" t="n">
        <v>0</v>
      </c>
      <c r="F22" s="41" t="n">
        <v>0</v>
      </c>
      <c r="G22" s="41" t="n">
        <v>0</v>
      </c>
      <c r="H22" s="40">
        <f>COUNTIF(C22:G22,1)</f>
        <v/>
      </c>
      <c r="I22" s="42">
        <f>H22/5</f>
        <v/>
      </c>
      <c r="J22" s="40" t="inlineStr"/>
    </row>
    <row r="23" ht="22" customHeight="1">
      <c r="A23" s="43" t="n">
        <v>46042</v>
      </c>
      <c r="B23" s="44" t="inlineStr">
        <is>
          <t>Tuesday</t>
        </is>
      </c>
      <c r="C23" s="41" t="n">
        <v>0</v>
      </c>
      <c r="D23" s="41" t="n">
        <v>0</v>
      </c>
      <c r="E23" s="41" t="n">
        <v>0</v>
      </c>
      <c r="F23" s="41" t="n">
        <v>0</v>
      </c>
      <c r="G23" s="41" t="n">
        <v>0</v>
      </c>
      <c r="H23" s="44">
        <f>COUNTIF(C23:G23,1)</f>
        <v/>
      </c>
      <c r="I23" s="45">
        <f>H23/5</f>
        <v/>
      </c>
      <c r="J23" s="44" t="inlineStr"/>
    </row>
    <row r="24" ht="22" customHeight="1">
      <c r="A24" s="39" t="n">
        <v>46043</v>
      </c>
      <c r="B24" s="40" t="inlineStr">
        <is>
          <t>Wednesday</t>
        </is>
      </c>
      <c r="C24" s="41" t="n">
        <v>0</v>
      </c>
      <c r="D24" s="41" t="n">
        <v>0</v>
      </c>
      <c r="E24" s="41" t="n">
        <v>0</v>
      </c>
      <c r="F24" s="41" t="n">
        <v>0</v>
      </c>
      <c r="G24" s="41" t="n">
        <v>0</v>
      </c>
      <c r="H24" s="40">
        <f>COUNTIF(C24:G24,1)</f>
        <v/>
      </c>
      <c r="I24" s="42">
        <f>H24/5</f>
        <v/>
      </c>
      <c r="J24" s="40" t="inlineStr"/>
    </row>
    <row r="25" ht="22" customHeight="1">
      <c r="A25" s="43" t="n">
        <v>46044</v>
      </c>
      <c r="B25" s="44" t="inlineStr">
        <is>
          <t>Thursday</t>
        </is>
      </c>
      <c r="C25" s="41" t="n">
        <v>0</v>
      </c>
      <c r="D25" s="41" t="n">
        <v>0</v>
      </c>
      <c r="E25" s="41" t="n">
        <v>0</v>
      </c>
      <c r="F25" s="41" t="n">
        <v>0</v>
      </c>
      <c r="G25" s="41" t="n">
        <v>0</v>
      </c>
      <c r="H25" s="44">
        <f>COUNTIF(C25:G25,1)</f>
        <v/>
      </c>
      <c r="I25" s="45">
        <f>H25/5</f>
        <v/>
      </c>
      <c r="J25" s="44" t="inlineStr"/>
    </row>
    <row r="26" ht="22" customHeight="1">
      <c r="A26" s="39" t="n">
        <v>46045</v>
      </c>
      <c r="B26" s="40" t="inlineStr">
        <is>
          <t>Friday</t>
        </is>
      </c>
      <c r="C26" s="41" t="n">
        <v>0</v>
      </c>
      <c r="D26" s="41" t="n">
        <v>0</v>
      </c>
      <c r="E26" s="41" t="n">
        <v>0</v>
      </c>
      <c r="F26" s="41" t="n">
        <v>0</v>
      </c>
      <c r="G26" s="41" t="n">
        <v>0</v>
      </c>
      <c r="H26" s="40">
        <f>COUNTIF(C26:G26,1)</f>
        <v/>
      </c>
      <c r="I26" s="42">
        <f>H26/5</f>
        <v/>
      </c>
      <c r="J26" s="40" t="inlineStr"/>
    </row>
    <row r="27" ht="22" customHeight="1">
      <c r="A27" s="43" t="n">
        <v>46046</v>
      </c>
      <c r="B27" s="44" t="inlineStr">
        <is>
          <t>Saturday</t>
        </is>
      </c>
      <c r="C27" s="41" t="n">
        <v>0</v>
      </c>
      <c r="D27" s="41" t="n">
        <v>0</v>
      </c>
      <c r="E27" s="41" t="n">
        <v>0</v>
      </c>
      <c r="F27" s="41" t="n">
        <v>0</v>
      </c>
      <c r="G27" s="41" t="n">
        <v>0</v>
      </c>
      <c r="H27" s="44">
        <f>COUNTIF(C27:G27,1)</f>
        <v/>
      </c>
      <c r="I27" s="45">
        <f>H27/5</f>
        <v/>
      </c>
      <c r="J27" s="44" t="inlineStr"/>
    </row>
    <row r="28" ht="22" customHeight="1">
      <c r="A28" s="39" t="n">
        <v>46047</v>
      </c>
      <c r="B28" s="40" t="inlineStr">
        <is>
          <t>Sunday</t>
        </is>
      </c>
      <c r="C28" s="41" t="n">
        <v>0</v>
      </c>
      <c r="D28" s="41" t="n">
        <v>0</v>
      </c>
      <c r="E28" s="41" t="n">
        <v>0</v>
      </c>
      <c r="F28" s="41" t="n">
        <v>0</v>
      </c>
      <c r="G28" s="41" t="n">
        <v>0</v>
      </c>
      <c r="H28" s="40">
        <f>COUNTIF(C28:G28,1)</f>
        <v/>
      </c>
      <c r="I28" s="42">
        <f>H28/5</f>
        <v/>
      </c>
      <c r="J28" s="40" t="inlineStr"/>
    </row>
    <row r="29" ht="22" customHeight="1">
      <c r="A29" s="43" t="n">
        <v>46048</v>
      </c>
      <c r="B29" s="44" t="inlineStr">
        <is>
          <t>Monday</t>
        </is>
      </c>
      <c r="C29" s="41" t="n">
        <v>0</v>
      </c>
      <c r="D29" s="41" t="n">
        <v>0</v>
      </c>
      <c r="E29" s="41" t="n">
        <v>0</v>
      </c>
      <c r="F29" s="41" t="n">
        <v>0</v>
      </c>
      <c r="G29" s="41" t="n">
        <v>0</v>
      </c>
      <c r="H29" s="44">
        <f>COUNTIF(C29:G29,1)</f>
        <v/>
      </c>
      <c r="I29" s="45">
        <f>H29/5</f>
        <v/>
      </c>
      <c r="J29" s="44" t="inlineStr"/>
    </row>
    <row r="30" ht="22" customHeight="1">
      <c r="A30" s="39" t="n">
        <v>46049</v>
      </c>
      <c r="B30" s="40" t="inlineStr">
        <is>
          <t>Tuesday</t>
        </is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40">
        <f>COUNTIF(C30:G30,1)</f>
        <v/>
      </c>
      <c r="I30" s="42">
        <f>H30/5</f>
        <v/>
      </c>
      <c r="J30" s="40" t="inlineStr"/>
    </row>
    <row r="31" ht="22" customHeight="1">
      <c r="A31" s="43" t="n">
        <v>46050</v>
      </c>
      <c r="B31" s="44" t="inlineStr">
        <is>
          <t>Wednesday</t>
        </is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4">
        <f>COUNTIF(C31:G31,1)</f>
        <v/>
      </c>
      <c r="I31" s="45">
        <f>H31/5</f>
        <v/>
      </c>
      <c r="J31" s="44" t="inlineStr"/>
    </row>
    <row r="32" ht="22" customHeight="1">
      <c r="A32" s="39" t="n">
        <v>46051</v>
      </c>
      <c r="B32" s="40" t="inlineStr">
        <is>
          <t>Thursday</t>
        </is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0">
        <f>COUNTIF(C32:G32,1)</f>
        <v/>
      </c>
      <c r="I32" s="42">
        <f>H32/5</f>
        <v/>
      </c>
      <c r="J32" s="40" t="inlineStr"/>
    </row>
    <row r="33" ht="22" customHeight="1">
      <c r="A33" s="43" t="n">
        <v>46052</v>
      </c>
      <c r="B33" s="44" t="inlineStr">
        <is>
          <t>Friday</t>
        </is>
      </c>
      <c r="C33" s="41" t="n">
        <v>0</v>
      </c>
      <c r="D33" s="41" t="n">
        <v>0</v>
      </c>
      <c r="E33" s="41" t="n">
        <v>0</v>
      </c>
      <c r="F33" s="41" t="n">
        <v>0</v>
      </c>
      <c r="G33" s="41" t="n">
        <v>0</v>
      </c>
      <c r="H33" s="44">
        <f>COUNTIF(C33:G33,1)</f>
        <v/>
      </c>
      <c r="I33" s="45">
        <f>H33/5</f>
        <v/>
      </c>
      <c r="J33" s="44" t="inlineStr"/>
    </row>
    <row r="34" ht="22" customHeight="1">
      <c r="A34" s="39" t="n">
        <v>46053</v>
      </c>
      <c r="B34" s="40" t="inlineStr">
        <is>
          <t>Saturday</t>
        </is>
      </c>
      <c r="C34" s="41" t="n">
        <v>0</v>
      </c>
      <c r="D34" s="41" t="n">
        <v>0</v>
      </c>
      <c r="E34" s="41" t="n">
        <v>0</v>
      </c>
      <c r="F34" s="41" t="n">
        <v>0</v>
      </c>
      <c r="G34" s="41" t="n">
        <v>0</v>
      </c>
      <c r="H34" s="40">
        <f>COUNTIF(C34:G34,1)</f>
        <v/>
      </c>
      <c r="I34" s="42">
        <f>H34/5</f>
        <v/>
      </c>
      <c r="J34" s="40" t="inlineStr"/>
    </row>
    <row r="35" ht="22" customHeight="1">
      <c r="A35" s="43" t="n">
        <v>46054</v>
      </c>
      <c r="B35" s="44" t="inlineStr">
        <is>
          <t>Sunday</t>
        </is>
      </c>
      <c r="C35" s="41" t="n">
        <v>0</v>
      </c>
      <c r="D35" s="41" t="n">
        <v>0</v>
      </c>
      <c r="E35" s="41" t="n">
        <v>0</v>
      </c>
      <c r="F35" s="41" t="n">
        <v>0</v>
      </c>
      <c r="G35" s="41" t="n">
        <v>0</v>
      </c>
      <c r="H35" s="44">
        <f>COUNTIF(C35:G35,1)</f>
        <v/>
      </c>
      <c r="I35" s="45">
        <f>H35/5</f>
        <v/>
      </c>
      <c r="J35" s="44" t="inlineStr"/>
    </row>
    <row r="36" ht="22" customHeight="1">
      <c r="A36" s="39" t="n">
        <v>46055</v>
      </c>
      <c r="B36" s="40" t="inlineStr">
        <is>
          <t>Monday</t>
        </is>
      </c>
      <c r="C36" s="41" t="n">
        <v>0</v>
      </c>
      <c r="D36" s="41" t="n">
        <v>0</v>
      </c>
      <c r="E36" s="41" t="n">
        <v>0</v>
      </c>
      <c r="F36" s="41" t="n">
        <v>0</v>
      </c>
      <c r="G36" s="41" t="n">
        <v>0</v>
      </c>
      <c r="H36" s="40">
        <f>COUNTIF(C36:G36,1)</f>
        <v/>
      </c>
      <c r="I36" s="42">
        <f>H36/5</f>
        <v/>
      </c>
      <c r="J36" s="40" t="inlineStr"/>
    </row>
    <row r="37" ht="22" customHeight="1">
      <c r="A37" s="43" t="n">
        <v>46056</v>
      </c>
      <c r="B37" s="44" t="inlineStr">
        <is>
          <t>Tuesday</t>
        </is>
      </c>
      <c r="C37" s="41" t="n">
        <v>0</v>
      </c>
      <c r="D37" s="41" t="n">
        <v>0</v>
      </c>
      <c r="E37" s="41" t="n">
        <v>0</v>
      </c>
      <c r="F37" s="41" t="n">
        <v>0</v>
      </c>
      <c r="G37" s="41" t="n">
        <v>0</v>
      </c>
      <c r="H37" s="44">
        <f>COUNTIF(C37:G37,1)</f>
        <v/>
      </c>
      <c r="I37" s="45">
        <f>H37/5</f>
        <v/>
      </c>
      <c r="J37" s="44" t="inlineStr"/>
    </row>
    <row r="38" ht="22" customHeight="1">
      <c r="A38" s="39" t="n">
        <v>46057</v>
      </c>
      <c r="B38" s="40" t="inlineStr">
        <is>
          <t>Wednesday</t>
        </is>
      </c>
      <c r="C38" s="41" t="n">
        <v>0</v>
      </c>
      <c r="D38" s="41" t="n">
        <v>0</v>
      </c>
      <c r="E38" s="41" t="n">
        <v>0</v>
      </c>
      <c r="F38" s="41" t="n">
        <v>0</v>
      </c>
      <c r="G38" s="41" t="n">
        <v>0</v>
      </c>
      <c r="H38" s="40">
        <f>COUNTIF(C38:G38,1)</f>
        <v/>
      </c>
      <c r="I38" s="42">
        <f>H38/5</f>
        <v/>
      </c>
      <c r="J38" s="40" t="inlineStr"/>
    </row>
    <row r="39" ht="22" customHeight="1">
      <c r="A39" s="43" t="n">
        <v>46058</v>
      </c>
      <c r="B39" s="44" t="inlineStr">
        <is>
          <t>Thursday</t>
        </is>
      </c>
      <c r="C39" s="41" t="n">
        <v>0</v>
      </c>
      <c r="D39" s="41" t="n">
        <v>0</v>
      </c>
      <c r="E39" s="41" t="n">
        <v>0</v>
      </c>
      <c r="F39" s="41" t="n">
        <v>0</v>
      </c>
      <c r="G39" s="41" t="n">
        <v>0</v>
      </c>
      <c r="H39" s="44">
        <f>COUNTIF(C39:G39,1)</f>
        <v/>
      </c>
      <c r="I39" s="45">
        <f>H39/5</f>
        <v/>
      </c>
      <c r="J39" s="44" t="inlineStr"/>
    </row>
    <row r="40" ht="22" customHeight="1">
      <c r="A40" s="39" t="n">
        <v>46059</v>
      </c>
      <c r="B40" s="40" t="inlineStr">
        <is>
          <t>Friday</t>
        </is>
      </c>
      <c r="C40" s="41" t="n">
        <v>0</v>
      </c>
      <c r="D40" s="41" t="n">
        <v>0</v>
      </c>
      <c r="E40" s="41" t="n">
        <v>0</v>
      </c>
      <c r="F40" s="41" t="n">
        <v>0</v>
      </c>
      <c r="G40" s="41" t="n">
        <v>0</v>
      </c>
      <c r="H40" s="40">
        <f>COUNTIF(C40:G40,1)</f>
        <v/>
      </c>
      <c r="I40" s="42">
        <f>H40/5</f>
        <v/>
      </c>
      <c r="J40" s="40" t="inlineStr"/>
    </row>
    <row r="41" ht="22" customHeight="1">
      <c r="A41" s="43" t="n">
        <v>46060</v>
      </c>
      <c r="B41" s="44" t="inlineStr">
        <is>
          <t>Saturday</t>
        </is>
      </c>
      <c r="C41" s="41" t="n">
        <v>0</v>
      </c>
      <c r="D41" s="41" t="n">
        <v>0</v>
      </c>
      <c r="E41" s="41" t="n">
        <v>0</v>
      </c>
      <c r="F41" s="41" t="n">
        <v>0</v>
      </c>
      <c r="G41" s="41" t="n">
        <v>0</v>
      </c>
      <c r="H41" s="44">
        <f>COUNTIF(C41:G41,1)</f>
        <v/>
      </c>
      <c r="I41" s="45">
        <f>H41/5</f>
        <v/>
      </c>
      <c r="J41" s="44" t="inlineStr"/>
    </row>
    <row r="42" ht="22" customHeight="1">
      <c r="A42" s="39" t="n">
        <v>46061</v>
      </c>
      <c r="B42" s="40" t="inlineStr">
        <is>
          <t>Sunday</t>
        </is>
      </c>
      <c r="C42" s="41" t="n">
        <v>0</v>
      </c>
      <c r="D42" s="41" t="n">
        <v>0</v>
      </c>
      <c r="E42" s="41" t="n">
        <v>0</v>
      </c>
      <c r="F42" s="41" t="n">
        <v>0</v>
      </c>
      <c r="G42" s="41" t="n">
        <v>0</v>
      </c>
      <c r="H42" s="40">
        <f>COUNTIF(C42:G42,1)</f>
        <v/>
      </c>
      <c r="I42" s="42">
        <f>H42/5</f>
        <v/>
      </c>
      <c r="J42" s="40" t="inlineStr"/>
    </row>
    <row r="43" ht="22" customHeight="1">
      <c r="A43" s="43" t="n">
        <v>46062</v>
      </c>
      <c r="B43" s="44" t="inlineStr">
        <is>
          <t>Monday</t>
        </is>
      </c>
      <c r="C43" s="41" t="n">
        <v>0</v>
      </c>
      <c r="D43" s="41" t="n">
        <v>0</v>
      </c>
      <c r="E43" s="41" t="n">
        <v>0</v>
      </c>
      <c r="F43" s="41" t="n">
        <v>0</v>
      </c>
      <c r="G43" s="41" t="n">
        <v>0</v>
      </c>
      <c r="H43" s="44">
        <f>COUNTIF(C43:G43,1)</f>
        <v/>
      </c>
      <c r="I43" s="45">
        <f>H43/5</f>
        <v/>
      </c>
      <c r="J43" s="44" t="inlineStr"/>
    </row>
    <row r="44" ht="22" customHeight="1">
      <c r="A44" s="39" t="n">
        <v>46063</v>
      </c>
      <c r="B44" s="40" t="inlineStr">
        <is>
          <t>Tuesday</t>
        </is>
      </c>
      <c r="C44" s="41" t="n">
        <v>0</v>
      </c>
      <c r="D44" s="41" t="n">
        <v>0</v>
      </c>
      <c r="E44" s="41" t="n">
        <v>0</v>
      </c>
      <c r="F44" s="41" t="n">
        <v>0</v>
      </c>
      <c r="G44" s="41" t="n">
        <v>0</v>
      </c>
      <c r="H44" s="40">
        <f>COUNTIF(C44:G44,1)</f>
        <v/>
      </c>
      <c r="I44" s="42">
        <f>H44/5</f>
        <v/>
      </c>
      <c r="J44" s="40" t="inlineStr"/>
    </row>
    <row r="45" ht="22" customHeight="1">
      <c r="A45" s="43" t="n">
        <v>46064</v>
      </c>
      <c r="B45" s="44" t="inlineStr">
        <is>
          <t>Wednesday</t>
        </is>
      </c>
      <c r="C45" s="41" t="n">
        <v>0</v>
      </c>
      <c r="D45" s="41" t="n">
        <v>0</v>
      </c>
      <c r="E45" s="41" t="n">
        <v>0</v>
      </c>
      <c r="F45" s="41" t="n">
        <v>0</v>
      </c>
      <c r="G45" s="41" t="n">
        <v>0</v>
      </c>
      <c r="H45" s="44">
        <f>COUNTIF(C45:G45,1)</f>
        <v/>
      </c>
      <c r="I45" s="45">
        <f>H45/5</f>
        <v/>
      </c>
      <c r="J45" s="44" t="inlineStr"/>
    </row>
    <row r="46" ht="22" customHeight="1">
      <c r="A46" s="39" t="n">
        <v>46065</v>
      </c>
      <c r="B46" s="40" t="inlineStr">
        <is>
          <t>Thursday</t>
        </is>
      </c>
      <c r="C46" s="41" t="n">
        <v>0</v>
      </c>
      <c r="D46" s="41" t="n">
        <v>0</v>
      </c>
      <c r="E46" s="41" t="n">
        <v>0</v>
      </c>
      <c r="F46" s="41" t="n">
        <v>0</v>
      </c>
      <c r="G46" s="41" t="n">
        <v>0</v>
      </c>
      <c r="H46" s="40">
        <f>COUNTIF(C46:G46,1)</f>
        <v/>
      </c>
      <c r="I46" s="42">
        <f>H46/5</f>
        <v/>
      </c>
      <c r="J46" s="40" t="inlineStr"/>
    </row>
    <row r="47" ht="22" customHeight="1">
      <c r="A47" s="43" t="n">
        <v>46066</v>
      </c>
      <c r="B47" s="44" t="inlineStr">
        <is>
          <t>Friday</t>
        </is>
      </c>
      <c r="C47" s="41" t="n">
        <v>0</v>
      </c>
      <c r="D47" s="41" t="n">
        <v>0</v>
      </c>
      <c r="E47" s="41" t="n">
        <v>0</v>
      </c>
      <c r="F47" s="41" t="n">
        <v>0</v>
      </c>
      <c r="G47" s="41" t="n">
        <v>0</v>
      </c>
      <c r="H47" s="44">
        <f>COUNTIF(C47:G47,1)</f>
        <v/>
      </c>
      <c r="I47" s="45">
        <f>H47/5</f>
        <v/>
      </c>
      <c r="J47" s="44" t="inlineStr"/>
    </row>
    <row r="48" ht="22" customHeight="1">
      <c r="A48" s="39" t="n">
        <v>46067</v>
      </c>
      <c r="B48" s="40" t="inlineStr">
        <is>
          <t>Saturday</t>
        </is>
      </c>
      <c r="C48" s="41" t="n">
        <v>0</v>
      </c>
      <c r="D48" s="41" t="n">
        <v>0</v>
      </c>
      <c r="E48" s="41" t="n">
        <v>0</v>
      </c>
      <c r="F48" s="41" t="n">
        <v>0</v>
      </c>
      <c r="G48" s="41" t="n">
        <v>0</v>
      </c>
      <c r="H48" s="40">
        <f>COUNTIF(C48:G48,1)</f>
        <v/>
      </c>
      <c r="I48" s="42">
        <f>H48/5</f>
        <v/>
      </c>
      <c r="J48" s="40" t="inlineStr"/>
    </row>
    <row r="49" ht="22" customHeight="1">
      <c r="A49" s="43" t="n">
        <v>46068</v>
      </c>
      <c r="B49" s="44" t="inlineStr">
        <is>
          <t>Sunday</t>
        </is>
      </c>
      <c r="C49" s="41" t="n">
        <v>0</v>
      </c>
      <c r="D49" s="41" t="n">
        <v>0</v>
      </c>
      <c r="E49" s="41" t="n">
        <v>0</v>
      </c>
      <c r="F49" s="41" t="n">
        <v>0</v>
      </c>
      <c r="G49" s="41" t="n">
        <v>0</v>
      </c>
      <c r="H49" s="44">
        <f>COUNTIF(C49:G49,1)</f>
        <v/>
      </c>
      <c r="I49" s="45">
        <f>H49/5</f>
        <v/>
      </c>
      <c r="J49" s="44" t="inlineStr"/>
    </row>
    <row r="50" ht="22" customHeight="1">
      <c r="A50" s="39" t="n">
        <v>46069</v>
      </c>
      <c r="B50" s="40" t="inlineStr">
        <is>
          <t>Monday</t>
        </is>
      </c>
      <c r="C50" s="41" t="n">
        <v>0</v>
      </c>
      <c r="D50" s="41" t="n">
        <v>0</v>
      </c>
      <c r="E50" s="41" t="n">
        <v>0</v>
      </c>
      <c r="F50" s="41" t="n">
        <v>0</v>
      </c>
      <c r="G50" s="41" t="n">
        <v>0</v>
      </c>
      <c r="H50" s="40">
        <f>COUNTIF(C50:G50,1)</f>
        <v/>
      </c>
      <c r="I50" s="42">
        <f>H50/5</f>
        <v/>
      </c>
      <c r="J50" s="40" t="inlineStr"/>
    </row>
    <row r="51" ht="22" customHeight="1">
      <c r="A51" s="43" t="n">
        <v>46070</v>
      </c>
      <c r="B51" s="44" t="inlineStr">
        <is>
          <t>Tuesday</t>
        </is>
      </c>
      <c r="C51" s="41" t="n">
        <v>0</v>
      </c>
      <c r="D51" s="41" t="n">
        <v>0</v>
      </c>
      <c r="E51" s="41" t="n">
        <v>0</v>
      </c>
      <c r="F51" s="41" t="n">
        <v>0</v>
      </c>
      <c r="G51" s="41" t="n">
        <v>0</v>
      </c>
      <c r="H51" s="44">
        <f>COUNTIF(C51:G51,1)</f>
        <v/>
      </c>
      <c r="I51" s="45">
        <f>H51/5</f>
        <v/>
      </c>
      <c r="J51" s="44" t="inlineStr"/>
    </row>
    <row r="52" ht="22" customHeight="1">
      <c r="A52" s="39" t="n">
        <v>46071</v>
      </c>
      <c r="B52" s="40" t="inlineStr">
        <is>
          <t>Wednesday</t>
        </is>
      </c>
      <c r="C52" s="41" t="n">
        <v>0</v>
      </c>
      <c r="D52" s="41" t="n">
        <v>0</v>
      </c>
      <c r="E52" s="41" t="n">
        <v>0</v>
      </c>
      <c r="F52" s="41" t="n">
        <v>0</v>
      </c>
      <c r="G52" s="41" t="n">
        <v>0</v>
      </c>
      <c r="H52" s="40">
        <f>COUNTIF(C52:G52,1)</f>
        <v/>
      </c>
      <c r="I52" s="42">
        <f>H52/5</f>
        <v/>
      </c>
      <c r="J52" s="40" t="inlineStr"/>
    </row>
    <row r="53" ht="22" customHeight="1">
      <c r="A53" s="43" t="n">
        <v>46072</v>
      </c>
      <c r="B53" s="44" t="inlineStr">
        <is>
          <t>Thursday</t>
        </is>
      </c>
      <c r="C53" s="41" t="n">
        <v>0</v>
      </c>
      <c r="D53" s="41" t="n">
        <v>0</v>
      </c>
      <c r="E53" s="41" t="n">
        <v>0</v>
      </c>
      <c r="F53" s="41" t="n">
        <v>0</v>
      </c>
      <c r="G53" s="41" t="n">
        <v>0</v>
      </c>
      <c r="H53" s="44">
        <f>COUNTIF(C53:G53,1)</f>
        <v/>
      </c>
      <c r="I53" s="45">
        <f>H53/5</f>
        <v/>
      </c>
      <c r="J53" s="44" t="inlineStr"/>
    </row>
    <row r="54" ht="22" customHeight="1">
      <c r="A54" s="39" t="n">
        <v>46073</v>
      </c>
      <c r="B54" s="40" t="inlineStr">
        <is>
          <t>Friday</t>
        </is>
      </c>
      <c r="C54" s="41" t="n">
        <v>0</v>
      </c>
      <c r="D54" s="41" t="n">
        <v>0</v>
      </c>
      <c r="E54" s="41" t="n">
        <v>0</v>
      </c>
      <c r="F54" s="41" t="n">
        <v>0</v>
      </c>
      <c r="G54" s="41" t="n">
        <v>0</v>
      </c>
      <c r="H54" s="40">
        <f>COUNTIF(C54:G54,1)</f>
        <v/>
      </c>
      <c r="I54" s="42">
        <f>H54/5</f>
        <v/>
      </c>
      <c r="J54" s="40" t="inlineStr"/>
    </row>
    <row r="55" ht="22" customHeight="1">
      <c r="A55" s="43" t="n">
        <v>46074</v>
      </c>
      <c r="B55" s="44" t="inlineStr">
        <is>
          <t>Saturday</t>
        </is>
      </c>
      <c r="C55" s="41" t="n">
        <v>0</v>
      </c>
      <c r="D55" s="41" t="n">
        <v>0</v>
      </c>
      <c r="E55" s="41" t="n">
        <v>0</v>
      </c>
      <c r="F55" s="41" t="n">
        <v>0</v>
      </c>
      <c r="G55" s="41" t="n">
        <v>0</v>
      </c>
      <c r="H55" s="44">
        <f>COUNTIF(C55:G55,1)</f>
        <v/>
      </c>
      <c r="I55" s="45">
        <f>H55/5</f>
        <v/>
      </c>
      <c r="J55" s="44" t="inlineStr"/>
    </row>
    <row r="56" ht="22" customHeight="1">
      <c r="A56" s="39" t="n">
        <v>46075</v>
      </c>
      <c r="B56" s="40" t="inlineStr">
        <is>
          <t>Sunday</t>
        </is>
      </c>
      <c r="C56" s="41" t="n">
        <v>0</v>
      </c>
      <c r="D56" s="41" t="n">
        <v>0</v>
      </c>
      <c r="E56" s="41" t="n">
        <v>0</v>
      </c>
      <c r="F56" s="41" t="n">
        <v>0</v>
      </c>
      <c r="G56" s="41" t="n">
        <v>0</v>
      </c>
      <c r="H56" s="40">
        <f>COUNTIF(C56:G56,1)</f>
        <v/>
      </c>
      <c r="I56" s="42">
        <f>H56/5</f>
        <v/>
      </c>
      <c r="J56" s="40" t="inlineStr"/>
    </row>
    <row r="57" ht="22" customHeight="1">
      <c r="A57" s="43" t="n">
        <v>46076</v>
      </c>
      <c r="B57" s="44" t="inlineStr">
        <is>
          <t>Monday</t>
        </is>
      </c>
      <c r="C57" s="41" t="n">
        <v>0</v>
      </c>
      <c r="D57" s="41" t="n">
        <v>0</v>
      </c>
      <c r="E57" s="41" t="n">
        <v>0</v>
      </c>
      <c r="F57" s="41" t="n">
        <v>0</v>
      </c>
      <c r="G57" s="41" t="n">
        <v>0</v>
      </c>
      <c r="H57" s="44">
        <f>COUNTIF(C57:G57,1)</f>
        <v/>
      </c>
      <c r="I57" s="45">
        <f>H57/5</f>
        <v/>
      </c>
      <c r="J57" s="44" t="inlineStr"/>
    </row>
    <row r="58" ht="22" customHeight="1">
      <c r="A58" s="39" t="n">
        <v>46077</v>
      </c>
      <c r="B58" s="40" t="inlineStr">
        <is>
          <t>Tuesday</t>
        </is>
      </c>
      <c r="C58" s="41" t="n">
        <v>0</v>
      </c>
      <c r="D58" s="41" t="n">
        <v>0</v>
      </c>
      <c r="E58" s="41" t="n">
        <v>0</v>
      </c>
      <c r="F58" s="41" t="n">
        <v>0</v>
      </c>
      <c r="G58" s="41" t="n">
        <v>0</v>
      </c>
      <c r="H58" s="40">
        <f>COUNTIF(C58:G58,1)</f>
        <v/>
      </c>
      <c r="I58" s="42">
        <f>H58/5</f>
        <v/>
      </c>
      <c r="J58" s="40" t="inlineStr"/>
    </row>
    <row r="59" ht="22" customHeight="1">
      <c r="A59" s="43" t="n">
        <v>46078</v>
      </c>
      <c r="B59" s="44" t="inlineStr">
        <is>
          <t>Wednesday</t>
        </is>
      </c>
      <c r="C59" s="41" t="n">
        <v>0</v>
      </c>
      <c r="D59" s="41" t="n">
        <v>0</v>
      </c>
      <c r="E59" s="41" t="n">
        <v>0</v>
      </c>
      <c r="F59" s="41" t="n">
        <v>0</v>
      </c>
      <c r="G59" s="41" t="n">
        <v>0</v>
      </c>
      <c r="H59" s="44">
        <f>COUNTIF(C59:G59,1)</f>
        <v/>
      </c>
      <c r="I59" s="45">
        <f>H59/5</f>
        <v/>
      </c>
      <c r="J59" s="44" t="inlineStr"/>
    </row>
    <row r="60" ht="22" customHeight="1">
      <c r="A60" s="39" t="n">
        <v>46079</v>
      </c>
      <c r="B60" s="40" t="inlineStr">
        <is>
          <t>Thursday</t>
        </is>
      </c>
      <c r="C60" s="41" t="n">
        <v>0</v>
      </c>
      <c r="D60" s="41" t="n">
        <v>0</v>
      </c>
      <c r="E60" s="41" t="n">
        <v>0</v>
      </c>
      <c r="F60" s="41" t="n">
        <v>0</v>
      </c>
      <c r="G60" s="41" t="n">
        <v>0</v>
      </c>
      <c r="H60" s="40">
        <f>COUNTIF(C60:G60,1)</f>
        <v/>
      </c>
      <c r="I60" s="42">
        <f>H60/5</f>
        <v/>
      </c>
      <c r="J60" s="40" t="inlineStr"/>
    </row>
    <row r="61" ht="22" customHeight="1">
      <c r="A61" s="43" t="n">
        <v>46080</v>
      </c>
      <c r="B61" s="44" t="inlineStr">
        <is>
          <t>Friday</t>
        </is>
      </c>
      <c r="C61" s="41" t="n">
        <v>0</v>
      </c>
      <c r="D61" s="41" t="n">
        <v>0</v>
      </c>
      <c r="E61" s="41" t="n">
        <v>0</v>
      </c>
      <c r="F61" s="41" t="n">
        <v>0</v>
      </c>
      <c r="G61" s="41" t="n">
        <v>0</v>
      </c>
      <c r="H61" s="44">
        <f>COUNTIF(C61:G61,1)</f>
        <v/>
      </c>
      <c r="I61" s="45">
        <f>H61/5</f>
        <v/>
      </c>
      <c r="J61" s="44" t="inlineStr"/>
    </row>
    <row r="62" ht="22" customHeight="1">
      <c r="A62" s="39" t="n">
        <v>46081</v>
      </c>
      <c r="B62" s="40" t="inlineStr">
        <is>
          <t>Saturday</t>
        </is>
      </c>
      <c r="C62" s="41" t="n">
        <v>0</v>
      </c>
      <c r="D62" s="41" t="n">
        <v>0</v>
      </c>
      <c r="E62" s="41" t="n">
        <v>0</v>
      </c>
      <c r="F62" s="41" t="n">
        <v>0</v>
      </c>
      <c r="G62" s="41" t="n">
        <v>0</v>
      </c>
      <c r="H62" s="40">
        <f>COUNTIF(C62:G62,1)</f>
        <v/>
      </c>
      <c r="I62" s="42">
        <f>H62/5</f>
        <v/>
      </c>
      <c r="J62" s="40" t="inlineStr"/>
    </row>
    <row r="63" ht="22" customHeight="1">
      <c r="A63" s="43" t="n">
        <v>46082</v>
      </c>
      <c r="B63" s="44" t="inlineStr">
        <is>
          <t>Sunday</t>
        </is>
      </c>
      <c r="C63" s="41" t="n">
        <v>0</v>
      </c>
      <c r="D63" s="41" t="n">
        <v>0</v>
      </c>
      <c r="E63" s="41" t="n">
        <v>0</v>
      </c>
      <c r="F63" s="41" t="n">
        <v>0</v>
      </c>
      <c r="G63" s="41" t="n">
        <v>0</v>
      </c>
      <c r="H63" s="44">
        <f>COUNTIF(C63:G63,1)</f>
        <v/>
      </c>
      <c r="I63" s="45">
        <f>H63/5</f>
        <v/>
      </c>
      <c r="J63" s="44" t="inlineStr"/>
    </row>
    <row r="64" ht="22" customHeight="1">
      <c r="A64" s="39" t="n">
        <v>46083</v>
      </c>
      <c r="B64" s="40" t="inlineStr">
        <is>
          <t>Monday</t>
        </is>
      </c>
      <c r="C64" s="41" t="n">
        <v>0</v>
      </c>
      <c r="D64" s="41" t="n">
        <v>0</v>
      </c>
      <c r="E64" s="41" t="n">
        <v>0</v>
      </c>
      <c r="F64" s="41" t="n">
        <v>0</v>
      </c>
      <c r="G64" s="41" t="n">
        <v>0</v>
      </c>
      <c r="H64" s="40">
        <f>COUNTIF(C64:G64,1)</f>
        <v/>
      </c>
      <c r="I64" s="42">
        <f>H64/5</f>
        <v/>
      </c>
      <c r="J64" s="40" t="inlineStr"/>
    </row>
    <row r="65" ht="22" customHeight="1">
      <c r="A65" s="43" t="n">
        <v>46084</v>
      </c>
      <c r="B65" s="44" t="inlineStr">
        <is>
          <t>Tuesday</t>
        </is>
      </c>
      <c r="C65" s="41" t="n">
        <v>0</v>
      </c>
      <c r="D65" s="41" t="n">
        <v>0</v>
      </c>
      <c r="E65" s="41" t="n">
        <v>0</v>
      </c>
      <c r="F65" s="41" t="n">
        <v>0</v>
      </c>
      <c r="G65" s="41" t="n">
        <v>0</v>
      </c>
      <c r="H65" s="44">
        <f>COUNTIF(C65:G65,1)</f>
        <v/>
      </c>
      <c r="I65" s="45">
        <f>H65/5</f>
        <v/>
      </c>
      <c r="J65" s="44" t="inlineStr"/>
    </row>
    <row r="66" ht="22" customHeight="1">
      <c r="A66" s="39" t="n">
        <v>46085</v>
      </c>
      <c r="B66" s="40" t="inlineStr">
        <is>
          <t>Wednesday</t>
        </is>
      </c>
      <c r="C66" s="41" t="n">
        <v>0</v>
      </c>
      <c r="D66" s="41" t="n">
        <v>0</v>
      </c>
      <c r="E66" s="41" t="n">
        <v>0</v>
      </c>
      <c r="F66" s="41" t="n">
        <v>0</v>
      </c>
      <c r="G66" s="41" t="n">
        <v>0</v>
      </c>
      <c r="H66" s="40">
        <f>COUNTIF(C66:G66,1)</f>
        <v/>
      </c>
      <c r="I66" s="42">
        <f>H66/5</f>
        <v/>
      </c>
      <c r="J66" s="40" t="inlineStr"/>
    </row>
    <row r="67" ht="22" customHeight="1">
      <c r="A67" s="43" t="n">
        <v>46086</v>
      </c>
      <c r="B67" s="44" t="inlineStr">
        <is>
          <t>Thursday</t>
        </is>
      </c>
      <c r="C67" s="41" t="n">
        <v>0</v>
      </c>
      <c r="D67" s="41" t="n">
        <v>0</v>
      </c>
      <c r="E67" s="41" t="n">
        <v>0</v>
      </c>
      <c r="F67" s="41" t="n">
        <v>0</v>
      </c>
      <c r="G67" s="41" t="n">
        <v>0</v>
      </c>
      <c r="H67" s="44">
        <f>COUNTIF(C67:G67,1)</f>
        <v/>
      </c>
      <c r="I67" s="45">
        <f>H67/5</f>
        <v/>
      </c>
      <c r="J67" s="44" t="inlineStr"/>
    </row>
    <row r="68" ht="22" customHeight="1">
      <c r="A68" s="39" t="n">
        <v>46087</v>
      </c>
      <c r="B68" s="40" t="inlineStr">
        <is>
          <t>Friday</t>
        </is>
      </c>
      <c r="C68" s="41" t="n">
        <v>0</v>
      </c>
      <c r="D68" s="41" t="n">
        <v>0</v>
      </c>
      <c r="E68" s="41" t="n">
        <v>0</v>
      </c>
      <c r="F68" s="41" t="n">
        <v>0</v>
      </c>
      <c r="G68" s="41" t="n">
        <v>0</v>
      </c>
      <c r="H68" s="40">
        <f>COUNTIF(C68:G68,1)</f>
        <v/>
      </c>
      <c r="I68" s="42">
        <f>H68/5</f>
        <v/>
      </c>
      <c r="J68" s="40" t="inlineStr"/>
    </row>
    <row r="69" ht="22" customHeight="1">
      <c r="A69" s="43" t="n">
        <v>46088</v>
      </c>
      <c r="B69" s="44" t="inlineStr">
        <is>
          <t>Saturday</t>
        </is>
      </c>
      <c r="C69" s="41" t="n">
        <v>0</v>
      </c>
      <c r="D69" s="41" t="n">
        <v>0</v>
      </c>
      <c r="E69" s="41" t="n">
        <v>0</v>
      </c>
      <c r="F69" s="41" t="n">
        <v>0</v>
      </c>
      <c r="G69" s="41" t="n">
        <v>0</v>
      </c>
      <c r="H69" s="44">
        <f>COUNTIF(C69:G69,1)</f>
        <v/>
      </c>
      <c r="I69" s="45">
        <f>H69/5</f>
        <v/>
      </c>
      <c r="J69" s="44" t="inlineStr"/>
    </row>
    <row r="70" ht="22" customHeight="1">
      <c r="A70" s="39" t="n">
        <v>46089</v>
      </c>
      <c r="B70" s="40" t="inlineStr">
        <is>
          <t>Sunday</t>
        </is>
      </c>
      <c r="C70" s="41" t="n">
        <v>0</v>
      </c>
      <c r="D70" s="41" t="n">
        <v>0</v>
      </c>
      <c r="E70" s="41" t="n">
        <v>0</v>
      </c>
      <c r="F70" s="41" t="n">
        <v>0</v>
      </c>
      <c r="G70" s="41" t="n">
        <v>0</v>
      </c>
      <c r="H70" s="40">
        <f>COUNTIF(C70:G70,1)</f>
        <v/>
      </c>
      <c r="I70" s="42">
        <f>H70/5</f>
        <v/>
      </c>
      <c r="J70" s="40" t="inlineStr"/>
    </row>
    <row r="71" ht="22" customHeight="1">
      <c r="A71" s="43" t="n">
        <v>46090</v>
      </c>
      <c r="B71" s="44" t="inlineStr">
        <is>
          <t>Monday</t>
        </is>
      </c>
      <c r="C71" s="41" t="n">
        <v>0</v>
      </c>
      <c r="D71" s="41" t="n">
        <v>0</v>
      </c>
      <c r="E71" s="41" t="n">
        <v>0</v>
      </c>
      <c r="F71" s="41" t="n">
        <v>0</v>
      </c>
      <c r="G71" s="41" t="n">
        <v>0</v>
      </c>
      <c r="H71" s="44">
        <f>COUNTIF(C71:G71,1)</f>
        <v/>
      </c>
      <c r="I71" s="45">
        <f>H71/5</f>
        <v/>
      </c>
      <c r="J71" s="44" t="inlineStr"/>
    </row>
    <row r="72" ht="22" customHeight="1">
      <c r="A72" s="39" t="n">
        <v>46091</v>
      </c>
      <c r="B72" s="40" t="inlineStr">
        <is>
          <t>Tuesday</t>
        </is>
      </c>
      <c r="C72" s="41" t="n">
        <v>0</v>
      </c>
      <c r="D72" s="41" t="n">
        <v>0</v>
      </c>
      <c r="E72" s="41" t="n">
        <v>0</v>
      </c>
      <c r="F72" s="41" t="n">
        <v>0</v>
      </c>
      <c r="G72" s="41" t="n">
        <v>0</v>
      </c>
      <c r="H72" s="40">
        <f>COUNTIF(C72:G72,1)</f>
        <v/>
      </c>
      <c r="I72" s="42">
        <f>H72/5</f>
        <v/>
      </c>
      <c r="J72" s="40" t="inlineStr"/>
    </row>
    <row r="73" ht="22" customHeight="1">
      <c r="A73" s="43" t="n">
        <v>46092</v>
      </c>
      <c r="B73" s="44" t="inlineStr">
        <is>
          <t>Wednesday</t>
        </is>
      </c>
      <c r="C73" s="41" t="n">
        <v>0</v>
      </c>
      <c r="D73" s="41" t="n">
        <v>0</v>
      </c>
      <c r="E73" s="41" t="n">
        <v>0</v>
      </c>
      <c r="F73" s="41" t="n">
        <v>0</v>
      </c>
      <c r="G73" s="41" t="n">
        <v>0</v>
      </c>
      <c r="H73" s="44">
        <f>COUNTIF(C73:G73,1)</f>
        <v/>
      </c>
      <c r="I73" s="45">
        <f>H73/5</f>
        <v/>
      </c>
      <c r="J73" s="44" t="inlineStr"/>
    </row>
    <row r="74" ht="22" customHeight="1">
      <c r="A74" s="39" t="n">
        <v>46093</v>
      </c>
      <c r="B74" s="40" t="inlineStr">
        <is>
          <t>Thursday</t>
        </is>
      </c>
      <c r="C74" s="41" t="n">
        <v>0</v>
      </c>
      <c r="D74" s="41" t="n">
        <v>0</v>
      </c>
      <c r="E74" s="41" t="n">
        <v>0</v>
      </c>
      <c r="F74" s="41" t="n">
        <v>0</v>
      </c>
      <c r="G74" s="41" t="n">
        <v>0</v>
      </c>
      <c r="H74" s="40">
        <f>COUNTIF(C74:G74,1)</f>
        <v/>
      </c>
      <c r="I74" s="42">
        <f>H74/5</f>
        <v/>
      </c>
      <c r="J74" s="40" t="inlineStr"/>
    </row>
    <row r="75" ht="22" customHeight="1">
      <c r="A75" s="43" t="n">
        <v>46094</v>
      </c>
      <c r="B75" s="44" t="inlineStr">
        <is>
          <t>Friday</t>
        </is>
      </c>
      <c r="C75" s="41" t="n">
        <v>0</v>
      </c>
      <c r="D75" s="41" t="n">
        <v>0</v>
      </c>
      <c r="E75" s="41" t="n">
        <v>0</v>
      </c>
      <c r="F75" s="41" t="n">
        <v>0</v>
      </c>
      <c r="G75" s="41" t="n">
        <v>0</v>
      </c>
      <c r="H75" s="44">
        <f>COUNTIF(C75:G75,1)</f>
        <v/>
      </c>
      <c r="I75" s="45">
        <f>H75/5</f>
        <v/>
      </c>
      <c r="J75" s="44" t="inlineStr"/>
    </row>
    <row r="76" ht="22" customHeight="1">
      <c r="A76" s="39" t="n">
        <v>46095</v>
      </c>
      <c r="B76" s="40" t="inlineStr">
        <is>
          <t>Saturday</t>
        </is>
      </c>
      <c r="C76" s="41" t="n">
        <v>0</v>
      </c>
      <c r="D76" s="41" t="n">
        <v>0</v>
      </c>
      <c r="E76" s="41" t="n">
        <v>0</v>
      </c>
      <c r="F76" s="41" t="n">
        <v>0</v>
      </c>
      <c r="G76" s="41" t="n">
        <v>0</v>
      </c>
      <c r="H76" s="40">
        <f>COUNTIF(C76:G76,1)</f>
        <v/>
      </c>
      <c r="I76" s="42">
        <f>H76/5</f>
        <v/>
      </c>
      <c r="J76" s="40" t="inlineStr"/>
    </row>
    <row r="77" ht="22" customHeight="1">
      <c r="A77" s="43" t="n">
        <v>46096</v>
      </c>
      <c r="B77" s="44" t="inlineStr">
        <is>
          <t>Sunday</t>
        </is>
      </c>
      <c r="C77" s="41" t="n">
        <v>0</v>
      </c>
      <c r="D77" s="41" t="n">
        <v>0</v>
      </c>
      <c r="E77" s="41" t="n">
        <v>0</v>
      </c>
      <c r="F77" s="41" t="n">
        <v>0</v>
      </c>
      <c r="G77" s="41" t="n">
        <v>0</v>
      </c>
      <c r="H77" s="44">
        <f>COUNTIF(C77:G77,1)</f>
        <v/>
      </c>
      <c r="I77" s="45">
        <f>H77/5</f>
        <v/>
      </c>
      <c r="J77" s="44" t="inlineStr"/>
    </row>
    <row r="78" ht="22" customHeight="1">
      <c r="A78" s="39" t="n">
        <v>46097</v>
      </c>
      <c r="B78" s="40" t="inlineStr">
        <is>
          <t>Monday</t>
        </is>
      </c>
      <c r="C78" s="41" t="n">
        <v>0</v>
      </c>
      <c r="D78" s="41" t="n">
        <v>0</v>
      </c>
      <c r="E78" s="41" t="n">
        <v>0</v>
      </c>
      <c r="F78" s="41" t="n">
        <v>0</v>
      </c>
      <c r="G78" s="41" t="n">
        <v>0</v>
      </c>
      <c r="H78" s="40">
        <f>COUNTIF(C78:G78,1)</f>
        <v/>
      </c>
      <c r="I78" s="42">
        <f>H78/5</f>
        <v/>
      </c>
      <c r="J78" s="40" t="inlineStr"/>
    </row>
    <row r="79" ht="22" customHeight="1">
      <c r="A79" s="43" t="n">
        <v>46098</v>
      </c>
      <c r="B79" s="44" t="inlineStr">
        <is>
          <t>Tuesday</t>
        </is>
      </c>
      <c r="C79" s="41" t="n">
        <v>0</v>
      </c>
      <c r="D79" s="41" t="n">
        <v>0</v>
      </c>
      <c r="E79" s="41" t="n">
        <v>0</v>
      </c>
      <c r="F79" s="41" t="n">
        <v>0</v>
      </c>
      <c r="G79" s="41" t="n">
        <v>0</v>
      </c>
      <c r="H79" s="44">
        <f>COUNTIF(C79:G79,1)</f>
        <v/>
      </c>
      <c r="I79" s="45">
        <f>H79/5</f>
        <v/>
      </c>
      <c r="J79" s="44" t="inlineStr"/>
    </row>
    <row r="80" ht="22" customHeight="1">
      <c r="A80" s="39" t="n">
        <v>46099</v>
      </c>
      <c r="B80" s="40" t="inlineStr">
        <is>
          <t>Wednesday</t>
        </is>
      </c>
      <c r="C80" s="41" t="n">
        <v>0</v>
      </c>
      <c r="D80" s="41" t="n">
        <v>0</v>
      </c>
      <c r="E80" s="41" t="n">
        <v>0</v>
      </c>
      <c r="F80" s="41" t="n">
        <v>0</v>
      </c>
      <c r="G80" s="41" t="n">
        <v>0</v>
      </c>
      <c r="H80" s="40">
        <f>COUNTIF(C80:G80,1)</f>
        <v/>
      </c>
      <c r="I80" s="42">
        <f>H80/5</f>
        <v/>
      </c>
      <c r="J80" s="40" t="inlineStr"/>
    </row>
    <row r="81" ht="22" customHeight="1">
      <c r="A81" s="43" t="n">
        <v>46100</v>
      </c>
      <c r="B81" s="44" t="inlineStr">
        <is>
          <t>Thursday</t>
        </is>
      </c>
      <c r="C81" s="41" t="n">
        <v>0</v>
      </c>
      <c r="D81" s="41" t="n">
        <v>0</v>
      </c>
      <c r="E81" s="41" t="n">
        <v>0</v>
      </c>
      <c r="F81" s="41" t="n">
        <v>0</v>
      </c>
      <c r="G81" s="41" t="n">
        <v>0</v>
      </c>
      <c r="H81" s="44">
        <f>COUNTIF(C81:G81,1)</f>
        <v/>
      </c>
      <c r="I81" s="45">
        <f>H81/5</f>
        <v/>
      </c>
      <c r="J81" s="44" t="inlineStr"/>
    </row>
    <row r="82" ht="22" customHeight="1">
      <c r="A82" s="39" t="n">
        <v>46101</v>
      </c>
      <c r="B82" s="40" t="inlineStr">
        <is>
          <t>Friday</t>
        </is>
      </c>
      <c r="C82" s="41" t="n">
        <v>0</v>
      </c>
      <c r="D82" s="41" t="n">
        <v>0</v>
      </c>
      <c r="E82" s="41" t="n">
        <v>0</v>
      </c>
      <c r="F82" s="41" t="n">
        <v>0</v>
      </c>
      <c r="G82" s="41" t="n">
        <v>0</v>
      </c>
      <c r="H82" s="40">
        <f>COUNTIF(C82:G82,1)</f>
        <v/>
      </c>
      <c r="I82" s="42">
        <f>H82/5</f>
        <v/>
      </c>
      <c r="J82" s="40" t="inlineStr"/>
    </row>
    <row r="83" ht="22" customHeight="1">
      <c r="A83" s="43" t="n">
        <v>46102</v>
      </c>
      <c r="B83" s="44" t="inlineStr">
        <is>
          <t>Saturday</t>
        </is>
      </c>
      <c r="C83" s="41" t="n">
        <v>0</v>
      </c>
      <c r="D83" s="41" t="n">
        <v>0</v>
      </c>
      <c r="E83" s="41" t="n">
        <v>0</v>
      </c>
      <c r="F83" s="41" t="n">
        <v>0</v>
      </c>
      <c r="G83" s="41" t="n">
        <v>0</v>
      </c>
      <c r="H83" s="44">
        <f>COUNTIF(C83:G83,1)</f>
        <v/>
      </c>
      <c r="I83" s="45">
        <f>H83/5</f>
        <v/>
      </c>
      <c r="J83" s="44" t="inlineStr"/>
    </row>
    <row r="84" ht="22" customHeight="1">
      <c r="A84" s="39" t="n">
        <v>46103</v>
      </c>
      <c r="B84" s="40" t="inlineStr">
        <is>
          <t>Sunday</t>
        </is>
      </c>
      <c r="C84" s="41" t="n">
        <v>0</v>
      </c>
      <c r="D84" s="41" t="n">
        <v>0</v>
      </c>
      <c r="E84" s="41" t="n">
        <v>0</v>
      </c>
      <c r="F84" s="41" t="n">
        <v>0</v>
      </c>
      <c r="G84" s="41" t="n">
        <v>0</v>
      </c>
      <c r="H84" s="40">
        <f>COUNTIF(C84:G84,1)</f>
        <v/>
      </c>
      <c r="I84" s="42">
        <f>H84/5</f>
        <v/>
      </c>
      <c r="J84" s="40" t="inlineStr"/>
    </row>
    <row r="85" ht="22" customHeight="1">
      <c r="A85" s="43" t="n">
        <v>46104</v>
      </c>
      <c r="B85" s="44" t="inlineStr">
        <is>
          <t>Monday</t>
        </is>
      </c>
      <c r="C85" s="41" t="n">
        <v>0</v>
      </c>
      <c r="D85" s="41" t="n">
        <v>0</v>
      </c>
      <c r="E85" s="41" t="n">
        <v>0</v>
      </c>
      <c r="F85" s="41" t="n">
        <v>0</v>
      </c>
      <c r="G85" s="41" t="n">
        <v>0</v>
      </c>
      <c r="H85" s="44">
        <f>COUNTIF(C85:G85,1)</f>
        <v/>
      </c>
      <c r="I85" s="45">
        <f>H85/5</f>
        <v/>
      </c>
      <c r="J85" s="44" t="inlineStr"/>
    </row>
    <row r="86" ht="22" customHeight="1">
      <c r="A86" s="39" t="n">
        <v>46105</v>
      </c>
      <c r="B86" s="40" t="inlineStr">
        <is>
          <t>Tuesday</t>
        </is>
      </c>
      <c r="C86" s="41" t="n">
        <v>0</v>
      </c>
      <c r="D86" s="41" t="n">
        <v>0</v>
      </c>
      <c r="E86" s="41" t="n">
        <v>0</v>
      </c>
      <c r="F86" s="41" t="n">
        <v>0</v>
      </c>
      <c r="G86" s="41" t="n">
        <v>0</v>
      </c>
      <c r="H86" s="40">
        <f>COUNTIF(C86:G86,1)</f>
        <v/>
      </c>
      <c r="I86" s="42">
        <f>H86/5</f>
        <v/>
      </c>
      <c r="J86" s="40" t="inlineStr"/>
    </row>
    <row r="87" ht="22" customHeight="1">
      <c r="A87" s="43" t="n">
        <v>46106</v>
      </c>
      <c r="B87" s="44" t="inlineStr">
        <is>
          <t>Wednesday</t>
        </is>
      </c>
      <c r="C87" s="41" t="n">
        <v>0</v>
      </c>
      <c r="D87" s="41" t="n">
        <v>0</v>
      </c>
      <c r="E87" s="41" t="n">
        <v>0</v>
      </c>
      <c r="F87" s="41" t="n">
        <v>0</v>
      </c>
      <c r="G87" s="41" t="n">
        <v>0</v>
      </c>
      <c r="H87" s="44">
        <f>COUNTIF(C87:G87,1)</f>
        <v/>
      </c>
      <c r="I87" s="45">
        <f>H87/5</f>
        <v/>
      </c>
      <c r="J87" s="44" t="inlineStr"/>
    </row>
    <row r="88" ht="22" customHeight="1">
      <c r="A88" s="39" t="n">
        <v>46107</v>
      </c>
      <c r="B88" s="40" t="inlineStr">
        <is>
          <t>Thursday</t>
        </is>
      </c>
      <c r="C88" s="41" t="n">
        <v>0</v>
      </c>
      <c r="D88" s="41" t="n">
        <v>0</v>
      </c>
      <c r="E88" s="41" t="n">
        <v>0</v>
      </c>
      <c r="F88" s="41" t="n">
        <v>0</v>
      </c>
      <c r="G88" s="41" t="n">
        <v>0</v>
      </c>
      <c r="H88" s="40">
        <f>COUNTIF(C88:G88,1)</f>
        <v/>
      </c>
      <c r="I88" s="42">
        <f>H88/5</f>
        <v/>
      </c>
      <c r="J88" s="40" t="inlineStr"/>
    </row>
    <row r="89" ht="22" customHeight="1">
      <c r="A89" s="43" t="n">
        <v>46108</v>
      </c>
      <c r="B89" s="44" t="inlineStr">
        <is>
          <t>Friday</t>
        </is>
      </c>
      <c r="C89" s="41" t="n">
        <v>0</v>
      </c>
      <c r="D89" s="41" t="n">
        <v>0</v>
      </c>
      <c r="E89" s="41" t="n">
        <v>0</v>
      </c>
      <c r="F89" s="41" t="n">
        <v>0</v>
      </c>
      <c r="G89" s="41" t="n">
        <v>0</v>
      </c>
      <c r="H89" s="44">
        <f>COUNTIF(C89:G89,1)</f>
        <v/>
      </c>
      <c r="I89" s="45">
        <f>H89/5</f>
        <v/>
      </c>
      <c r="J89" s="44" t="inlineStr"/>
    </row>
    <row r="90" ht="22" customHeight="1">
      <c r="A90" s="39" t="n">
        <v>46109</v>
      </c>
      <c r="B90" s="40" t="inlineStr">
        <is>
          <t>Saturday</t>
        </is>
      </c>
      <c r="C90" s="41" t="n">
        <v>0</v>
      </c>
      <c r="D90" s="41" t="n">
        <v>0</v>
      </c>
      <c r="E90" s="41" t="n">
        <v>0</v>
      </c>
      <c r="F90" s="41" t="n">
        <v>0</v>
      </c>
      <c r="G90" s="41" t="n">
        <v>0</v>
      </c>
      <c r="H90" s="40">
        <f>COUNTIF(C90:G90,1)</f>
        <v/>
      </c>
      <c r="I90" s="42">
        <f>H90/5</f>
        <v/>
      </c>
      <c r="J90" s="40" t="inlineStr"/>
    </row>
    <row r="91" ht="22" customHeight="1">
      <c r="A91" s="43" t="n">
        <v>46110</v>
      </c>
      <c r="B91" s="44" t="inlineStr">
        <is>
          <t>Sunday</t>
        </is>
      </c>
      <c r="C91" s="41" t="n">
        <v>0</v>
      </c>
      <c r="D91" s="41" t="n">
        <v>0</v>
      </c>
      <c r="E91" s="41" t="n">
        <v>0</v>
      </c>
      <c r="F91" s="41" t="n">
        <v>0</v>
      </c>
      <c r="G91" s="41" t="n">
        <v>0</v>
      </c>
      <c r="H91" s="44">
        <f>COUNTIF(C91:G91,1)</f>
        <v/>
      </c>
      <c r="I91" s="45">
        <f>H91/5</f>
        <v/>
      </c>
      <c r="J91" s="44" t="inlineStr"/>
    </row>
    <row r="92" ht="22" customHeight="1">
      <c r="A92" s="39" t="n">
        <v>46111</v>
      </c>
      <c r="B92" s="40" t="inlineStr">
        <is>
          <t>Monday</t>
        </is>
      </c>
      <c r="C92" s="41" t="n">
        <v>0</v>
      </c>
      <c r="D92" s="41" t="n">
        <v>0</v>
      </c>
      <c r="E92" s="41" t="n">
        <v>0</v>
      </c>
      <c r="F92" s="41" t="n">
        <v>0</v>
      </c>
      <c r="G92" s="41" t="n">
        <v>0</v>
      </c>
      <c r="H92" s="40">
        <f>COUNTIF(C92:G92,1)</f>
        <v/>
      </c>
      <c r="I92" s="42">
        <f>H92/5</f>
        <v/>
      </c>
      <c r="J92" s="40" t="inlineStr"/>
    </row>
    <row r="93" ht="22" customHeight="1">
      <c r="A93" s="43" t="n">
        <v>46112</v>
      </c>
      <c r="B93" s="44" t="inlineStr">
        <is>
          <t>Tuesday</t>
        </is>
      </c>
      <c r="C93" s="41" t="n">
        <v>0</v>
      </c>
      <c r="D93" s="41" t="n">
        <v>0</v>
      </c>
      <c r="E93" s="41" t="n">
        <v>0</v>
      </c>
      <c r="F93" s="41" t="n">
        <v>0</v>
      </c>
      <c r="G93" s="41" t="n">
        <v>0</v>
      </c>
      <c r="H93" s="44">
        <f>COUNTIF(C93:G93,1)</f>
        <v/>
      </c>
      <c r="I93" s="45">
        <f>H93/5</f>
        <v/>
      </c>
      <c r="J93" s="44" t="inlineStr"/>
    </row>
    <row r="94" ht="22" customHeight="1">
      <c r="A94" s="39" t="n">
        <v>46113</v>
      </c>
      <c r="B94" s="40" t="inlineStr">
        <is>
          <t>Wednesday</t>
        </is>
      </c>
      <c r="C94" s="41" t="n">
        <v>0</v>
      </c>
      <c r="D94" s="41" t="n">
        <v>0</v>
      </c>
      <c r="E94" s="41" t="n">
        <v>0</v>
      </c>
      <c r="F94" s="41" t="n">
        <v>0</v>
      </c>
      <c r="G94" s="41" t="n">
        <v>0</v>
      </c>
      <c r="H94" s="40">
        <f>COUNTIF(C94:G94,1)</f>
        <v/>
      </c>
      <c r="I94" s="42">
        <f>H94/5</f>
        <v/>
      </c>
      <c r="J94" s="40" t="inlineStr"/>
    </row>
    <row r="95" ht="22" customHeight="1">
      <c r="A95" s="43" t="n">
        <v>46114</v>
      </c>
      <c r="B95" s="44" t="inlineStr">
        <is>
          <t>Thursday</t>
        </is>
      </c>
      <c r="C95" s="41" t="n">
        <v>0</v>
      </c>
      <c r="D95" s="41" t="n">
        <v>0</v>
      </c>
      <c r="E95" s="41" t="n">
        <v>0</v>
      </c>
      <c r="F95" s="41" t="n">
        <v>0</v>
      </c>
      <c r="G95" s="41" t="n">
        <v>0</v>
      </c>
      <c r="H95" s="44">
        <f>COUNTIF(C95:G95,1)</f>
        <v/>
      </c>
      <c r="I95" s="45">
        <f>H95/5</f>
        <v/>
      </c>
      <c r="J95" s="44" t="inlineStr"/>
    </row>
    <row r="96" ht="22" customHeight="1">
      <c r="A96" s="39" t="n">
        <v>46115</v>
      </c>
      <c r="B96" s="40" t="inlineStr">
        <is>
          <t>Friday</t>
        </is>
      </c>
      <c r="C96" s="41" t="n">
        <v>0</v>
      </c>
      <c r="D96" s="41" t="n">
        <v>0</v>
      </c>
      <c r="E96" s="41" t="n">
        <v>0</v>
      </c>
      <c r="F96" s="41" t="n">
        <v>0</v>
      </c>
      <c r="G96" s="41" t="n">
        <v>0</v>
      </c>
      <c r="H96" s="40">
        <f>COUNTIF(C96:G96,1)</f>
        <v/>
      </c>
      <c r="I96" s="42">
        <f>H96/5</f>
        <v/>
      </c>
      <c r="J96" s="40" t="inlineStr"/>
    </row>
    <row r="97" ht="22" customHeight="1">
      <c r="A97" s="43" t="n">
        <v>46116</v>
      </c>
      <c r="B97" s="44" t="inlineStr">
        <is>
          <t>Saturday</t>
        </is>
      </c>
      <c r="C97" s="41" t="n">
        <v>0</v>
      </c>
      <c r="D97" s="41" t="n">
        <v>0</v>
      </c>
      <c r="E97" s="41" t="n">
        <v>0</v>
      </c>
      <c r="F97" s="41" t="n">
        <v>0</v>
      </c>
      <c r="G97" s="41" t="n">
        <v>0</v>
      </c>
      <c r="H97" s="44">
        <f>COUNTIF(C97:G97,1)</f>
        <v/>
      </c>
      <c r="I97" s="45">
        <f>H97/5</f>
        <v/>
      </c>
      <c r="J97" s="44" t="inlineStr"/>
    </row>
    <row r="98" ht="22" customHeight="1">
      <c r="A98" s="39" t="n">
        <v>46117</v>
      </c>
      <c r="B98" s="40" t="inlineStr">
        <is>
          <t>Sunday</t>
        </is>
      </c>
      <c r="C98" s="41" t="n">
        <v>0</v>
      </c>
      <c r="D98" s="41" t="n">
        <v>0</v>
      </c>
      <c r="E98" s="41" t="n">
        <v>0</v>
      </c>
      <c r="F98" s="41" t="n">
        <v>0</v>
      </c>
      <c r="G98" s="41" t="n">
        <v>0</v>
      </c>
      <c r="H98" s="40">
        <f>COUNTIF(C98:G98,1)</f>
        <v/>
      </c>
      <c r="I98" s="42">
        <f>H98/5</f>
        <v/>
      </c>
      <c r="J98" s="40" t="inlineStr"/>
    </row>
    <row r="99" ht="22" customHeight="1">
      <c r="A99" s="43" t="n">
        <v>46118</v>
      </c>
      <c r="B99" s="44" t="inlineStr">
        <is>
          <t>Monday</t>
        </is>
      </c>
      <c r="C99" s="41" t="n">
        <v>0</v>
      </c>
      <c r="D99" s="41" t="n">
        <v>0</v>
      </c>
      <c r="E99" s="41" t="n">
        <v>0</v>
      </c>
      <c r="F99" s="41" t="n">
        <v>0</v>
      </c>
      <c r="G99" s="41" t="n">
        <v>0</v>
      </c>
      <c r="H99" s="44">
        <f>COUNTIF(C99:G99,1)</f>
        <v/>
      </c>
      <c r="I99" s="45">
        <f>H99/5</f>
        <v/>
      </c>
      <c r="J99" s="44" t="inlineStr"/>
    </row>
    <row r="100" ht="22" customHeight="1">
      <c r="A100" s="39" t="n">
        <v>46119</v>
      </c>
      <c r="B100" s="40" t="inlineStr">
        <is>
          <t>Tuesday</t>
        </is>
      </c>
      <c r="C100" s="41" t="n">
        <v>0</v>
      </c>
      <c r="D100" s="41" t="n">
        <v>0</v>
      </c>
      <c r="E100" s="41" t="n">
        <v>0</v>
      </c>
      <c r="F100" s="41" t="n">
        <v>0</v>
      </c>
      <c r="G100" s="41" t="n">
        <v>0</v>
      </c>
      <c r="H100" s="40">
        <f>COUNTIF(C100:G100,1)</f>
        <v/>
      </c>
      <c r="I100" s="42">
        <f>H100/5</f>
        <v/>
      </c>
      <c r="J100" s="40" t="inlineStr"/>
    </row>
    <row r="101" ht="22" customHeight="1">
      <c r="A101" s="43" t="n">
        <v>46120</v>
      </c>
      <c r="B101" s="44" t="inlineStr">
        <is>
          <t>Wednesday</t>
        </is>
      </c>
      <c r="C101" s="41" t="n">
        <v>0</v>
      </c>
      <c r="D101" s="41" t="n">
        <v>0</v>
      </c>
      <c r="E101" s="41" t="n">
        <v>0</v>
      </c>
      <c r="F101" s="41" t="n">
        <v>0</v>
      </c>
      <c r="G101" s="41" t="n">
        <v>0</v>
      </c>
      <c r="H101" s="44">
        <f>COUNTIF(C101:G101,1)</f>
        <v/>
      </c>
      <c r="I101" s="45">
        <f>H101/5</f>
        <v/>
      </c>
      <c r="J101" s="44" t="inlineStr"/>
    </row>
    <row r="102" ht="22" customHeight="1">
      <c r="A102" s="39" t="n">
        <v>46121</v>
      </c>
      <c r="B102" s="40" t="inlineStr">
        <is>
          <t>Thursday</t>
        </is>
      </c>
      <c r="C102" s="41" t="n">
        <v>0</v>
      </c>
      <c r="D102" s="41" t="n">
        <v>0</v>
      </c>
      <c r="E102" s="41" t="n">
        <v>0</v>
      </c>
      <c r="F102" s="41" t="n">
        <v>0</v>
      </c>
      <c r="G102" s="41" t="n">
        <v>0</v>
      </c>
      <c r="H102" s="40">
        <f>COUNTIF(C102:G102,1)</f>
        <v/>
      </c>
      <c r="I102" s="42">
        <f>H102/5</f>
        <v/>
      </c>
      <c r="J102" s="40" t="inlineStr"/>
    </row>
    <row r="103" ht="22" customHeight="1">
      <c r="A103" s="43" t="n">
        <v>46122</v>
      </c>
      <c r="B103" s="44" t="inlineStr">
        <is>
          <t>Friday</t>
        </is>
      </c>
      <c r="C103" s="41" t="n">
        <v>0</v>
      </c>
      <c r="D103" s="41" t="n">
        <v>0</v>
      </c>
      <c r="E103" s="41" t="n">
        <v>0</v>
      </c>
      <c r="F103" s="41" t="n">
        <v>0</v>
      </c>
      <c r="G103" s="41" t="n">
        <v>0</v>
      </c>
      <c r="H103" s="44">
        <f>COUNTIF(C103:G103,1)</f>
        <v/>
      </c>
      <c r="I103" s="45">
        <f>H103/5</f>
        <v/>
      </c>
      <c r="J103" s="44" t="inlineStr"/>
    </row>
    <row r="104" ht="22" customHeight="1">
      <c r="A104" s="39" t="n">
        <v>46123</v>
      </c>
      <c r="B104" s="40" t="inlineStr">
        <is>
          <t>Saturday</t>
        </is>
      </c>
      <c r="C104" s="41" t="n">
        <v>0</v>
      </c>
      <c r="D104" s="41" t="n">
        <v>0</v>
      </c>
      <c r="E104" s="41" t="n">
        <v>0</v>
      </c>
      <c r="F104" s="41" t="n">
        <v>0</v>
      </c>
      <c r="G104" s="41" t="n">
        <v>0</v>
      </c>
      <c r="H104" s="40">
        <f>COUNTIF(C104:G104,1)</f>
        <v/>
      </c>
      <c r="I104" s="42">
        <f>H104/5</f>
        <v/>
      </c>
      <c r="J104" s="40" t="inlineStr"/>
    </row>
    <row r="105" ht="22" customHeight="1">
      <c r="A105" s="43" t="n">
        <v>46124</v>
      </c>
      <c r="B105" s="44" t="inlineStr">
        <is>
          <t>Sunday</t>
        </is>
      </c>
      <c r="C105" s="41" t="n">
        <v>0</v>
      </c>
      <c r="D105" s="41" t="n">
        <v>0</v>
      </c>
      <c r="E105" s="41" t="n">
        <v>0</v>
      </c>
      <c r="F105" s="41" t="n">
        <v>0</v>
      </c>
      <c r="G105" s="41" t="n">
        <v>0</v>
      </c>
      <c r="H105" s="44">
        <f>COUNTIF(C105:G105,1)</f>
        <v/>
      </c>
      <c r="I105" s="45">
        <f>H105/5</f>
        <v/>
      </c>
      <c r="J105" s="44" t="inlineStr"/>
    </row>
    <row r="106" ht="22" customHeight="1">
      <c r="A106" s="39" t="n">
        <v>46125</v>
      </c>
      <c r="B106" s="40" t="inlineStr">
        <is>
          <t>Monday</t>
        </is>
      </c>
      <c r="C106" s="41" t="n">
        <v>0</v>
      </c>
      <c r="D106" s="41" t="n">
        <v>0</v>
      </c>
      <c r="E106" s="41" t="n">
        <v>0</v>
      </c>
      <c r="F106" s="41" t="n">
        <v>0</v>
      </c>
      <c r="G106" s="41" t="n">
        <v>0</v>
      </c>
      <c r="H106" s="40">
        <f>COUNTIF(C106:G106,1)</f>
        <v/>
      </c>
      <c r="I106" s="42">
        <f>H106/5</f>
        <v/>
      </c>
      <c r="J106" s="40" t="inlineStr"/>
    </row>
    <row r="107" ht="22" customHeight="1">
      <c r="A107" s="43" t="n">
        <v>46126</v>
      </c>
      <c r="B107" s="44" t="inlineStr">
        <is>
          <t>Tuesday</t>
        </is>
      </c>
      <c r="C107" s="41" t="n">
        <v>0</v>
      </c>
      <c r="D107" s="41" t="n">
        <v>0</v>
      </c>
      <c r="E107" s="41" t="n">
        <v>0</v>
      </c>
      <c r="F107" s="41" t="n">
        <v>0</v>
      </c>
      <c r="G107" s="41" t="n">
        <v>0</v>
      </c>
      <c r="H107" s="44">
        <f>COUNTIF(C107:G107,1)</f>
        <v/>
      </c>
      <c r="I107" s="45">
        <f>H107/5</f>
        <v/>
      </c>
      <c r="J107" s="44" t="inlineStr"/>
    </row>
    <row r="108" ht="22" customHeight="1">
      <c r="A108" s="39" t="n">
        <v>46127</v>
      </c>
      <c r="B108" s="40" t="inlineStr">
        <is>
          <t>Wednesday</t>
        </is>
      </c>
      <c r="C108" s="41" t="n">
        <v>0</v>
      </c>
      <c r="D108" s="41" t="n">
        <v>0</v>
      </c>
      <c r="E108" s="41" t="n">
        <v>0</v>
      </c>
      <c r="F108" s="41" t="n">
        <v>0</v>
      </c>
      <c r="G108" s="41" t="n">
        <v>0</v>
      </c>
      <c r="H108" s="40">
        <f>COUNTIF(C108:G108,1)</f>
        <v/>
      </c>
      <c r="I108" s="42">
        <f>H108/5</f>
        <v/>
      </c>
      <c r="J108" s="40" t="inlineStr"/>
    </row>
    <row r="109" ht="22" customHeight="1">
      <c r="A109" s="43" t="n">
        <v>46128</v>
      </c>
      <c r="B109" s="44" t="inlineStr">
        <is>
          <t>Thursday</t>
        </is>
      </c>
      <c r="C109" s="41" t="n">
        <v>0</v>
      </c>
      <c r="D109" s="41" t="n">
        <v>0</v>
      </c>
      <c r="E109" s="41" t="n">
        <v>0</v>
      </c>
      <c r="F109" s="41" t="n">
        <v>0</v>
      </c>
      <c r="G109" s="41" t="n">
        <v>0</v>
      </c>
      <c r="H109" s="44">
        <f>COUNTIF(C109:G109,1)</f>
        <v/>
      </c>
      <c r="I109" s="45">
        <f>H109/5</f>
        <v/>
      </c>
      <c r="J109" s="44" t="inlineStr"/>
    </row>
    <row r="110" ht="22" customHeight="1">
      <c r="A110" s="39" t="n">
        <v>46129</v>
      </c>
      <c r="B110" s="40" t="inlineStr">
        <is>
          <t>Friday</t>
        </is>
      </c>
      <c r="C110" s="41" t="n">
        <v>0</v>
      </c>
      <c r="D110" s="41" t="n">
        <v>0</v>
      </c>
      <c r="E110" s="41" t="n">
        <v>0</v>
      </c>
      <c r="F110" s="41" t="n">
        <v>0</v>
      </c>
      <c r="G110" s="41" t="n">
        <v>0</v>
      </c>
      <c r="H110" s="40">
        <f>COUNTIF(C110:G110,1)</f>
        <v/>
      </c>
      <c r="I110" s="42">
        <f>H110/5</f>
        <v/>
      </c>
      <c r="J110" s="40" t="inlineStr"/>
    </row>
    <row r="111" ht="22" customHeight="1">
      <c r="A111" s="43" t="n">
        <v>46130</v>
      </c>
      <c r="B111" s="44" t="inlineStr">
        <is>
          <t>Saturday</t>
        </is>
      </c>
      <c r="C111" s="41" t="n">
        <v>0</v>
      </c>
      <c r="D111" s="41" t="n">
        <v>0</v>
      </c>
      <c r="E111" s="41" t="n">
        <v>0</v>
      </c>
      <c r="F111" s="41" t="n">
        <v>0</v>
      </c>
      <c r="G111" s="41" t="n">
        <v>0</v>
      </c>
      <c r="H111" s="44">
        <f>COUNTIF(C111:G111,1)</f>
        <v/>
      </c>
      <c r="I111" s="45">
        <f>H111/5</f>
        <v/>
      </c>
      <c r="J111" s="44" t="inlineStr"/>
    </row>
    <row r="112" ht="22" customHeight="1">
      <c r="A112" s="39" t="n">
        <v>46131</v>
      </c>
      <c r="B112" s="40" t="inlineStr">
        <is>
          <t>Sunday</t>
        </is>
      </c>
      <c r="C112" s="41" t="n">
        <v>0</v>
      </c>
      <c r="D112" s="41" t="n">
        <v>0</v>
      </c>
      <c r="E112" s="41" t="n">
        <v>0</v>
      </c>
      <c r="F112" s="41" t="n">
        <v>0</v>
      </c>
      <c r="G112" s="41" t="n">
        <v>0</v>
      </c>
      <c r="H112" s="40">
        <f>COUNTIF(C112:G112,1)</f>
        <v/>
      </c>
      <c r="I112" s="42">
        <f>H112/5</f>
        <v/>
      </c>
      <c r="J112" s="40" t="inlineStr"/>
    </row>
    <row r="113" ht="22" customHeight="1">
      <c r="A113" s="43" t="n">
        <v>46132</v>
      </c>
      <c r="B113" s="44" t="inlineStr">
        <is>
          <t>Monday</t>
        </is>
      </c>
      <c r="C113" s="41" t="n">
        <v>0</v>
      </c>
      <c r="D113" s="41" t="n">
        <v>0</v>
      </c>
      <c r="E113" s="41" t="n">
        <v>0</v>
      </c>
      <c r="F113" s="41" t="n">
        <v>0</v>
      </c>
      <c r="G113" s="41" t="n">
        <v>0</v>
      </c>
      <c r="H113" s="44">
        <f>COUNTIF(C113:G113,1)</f>
        <v/>
      </c>
      <c r="I113" s="45">
        <f>H113/5</f>
        <v/>
      </c>
      <c r="J113" s="44" t="inlineStr"/>
    </row>
    <row r="114" ht="22" customHeight="1">
      <c r="A114" s="39" t="n">
        <v>46133</v>
      </c>
      <c r="B114" s="40" t="inlineStr">
        <is>
          <t>Tuesday</t>
        </is>
      </c>
      <c r="C114" s="41" t="n">
        <v>0</v>
      </c>
      <c r="D114" s="41" t="n">
        <v>0</v>
      </c>
      <c r="E114" s="41" t="n">
        <v>0</v>
      </c>
      <c r="F114" s="41" t="n">
        <v>0</v>
      </c>
      <c r="G114" s="41" t="n">
        <v>0</v>
      </c>
      <c r="H114" s="40">
        <f>COUNTIF(C114:G114,1)</f>
        <v/>
      </c>
      <c r="I114" s="42">
        <f>H114/5</f>
        <v/>
      </c>
      <c r="J114" s="40" t="inlineStr"/>
    </row>
    <row r="115" ht="22" customHeight="1">
      <c r="A115" s="43" t="n">
        <v>46134</v>
      </c>
      <c r="B115" s="44" t="inlineStr">
        <is>
          <t>Wednesday</t>
        </is>
      </c>
      <c r="C115" s="41" t="n">
        <v>0</v>
      </c>
      <c r="D115" s="41" t="n">
        <v>0</v>
      </c>
      <c r="E115" s="41" t="n">
        <v>0</v>
      </c>
      <c r="F115" s="41" t="n">
        <v>0</v>
      </c>
      <c r="G115" s="41" t="n">
        <v>0</v>
      </c>
      <c r="H115" s="44">
        <f>COUNTIF(C115:G115,1)</f>
        <v/>
      </c>
      <c r="I115" s="45">
        <f>H115/5</f>
        <v/>
      </c>
      <c r="J115" s="44" t="inlineStr"/>
    </row>
    <row r="116" ht="22" customHeight="1">
      <c r="A116" s="39" t="n">
        <v>46135</v>
      </c>
      <c r="B116" s="40" t="inlineStr">
        <is>
          <t>Thursday</t>
        </is>
      </c>
      <c r="C116" s="41" t="n">
        <v>0</v>
      </c>
      <c r="D116" s="41" t="n">
        <v>0</v>
      </c>
      <c r="E116" s="41" t="n">
        <v>0</v>
      </c>
      <c r="F116" s="41" t="n">
        <v>0</v>
      </c>
      <c r="G116" s="41" t="n">
        <v>0</v>
      </c>
      <c r="H116" s="40">
        <f>COUNTIF(C116:G116,1)</f>
        <v/>
      </c>
      <c r="I116" s="42">
        <f>H116/5</f>
        <v/>
      </c>
      <c r="J116" s="40" t="inlineStr"/>
    </row>
    <row r="117" ht="22" customHeight="1">
      <c r="A117" s="43" t="n">
        <v>46136</v>
      </c>
      <c r="B117" s="44" t="inlineStr">
        <is>
          <t>Friday</t>
        </is>
      </c>
      <c r="C117" s="41" t="n">
        <v>0</v>
      </c>
      <c r="D117" s="41" t="n">
        <v>0</v>
      </c>
      <c r="E117" s="41" t="n">
        <v>0</v>
      </c>
      <c r="F117" s="41" t="n">
        <v>0</v>
      </c>
      <c r="G117" s="41" t="n">
        <v>0</v>
      </c>
      <c r="H117" s="44">
        <f>COUNTIF(C117:G117,1)</f>
        <v/>
      </c>
      <c r="I117" s="45">
        <f>H117/5</f>
        <v/>
      </c>
      <c r="J117" s="44" t="inlineStr"/>
    </row>
    <row r="118" ht="22" customHeight="1">
      <c r="A118" s="39" t="n">
        <v>46137</v>
      </c>
      <c r="B118" s="40" t="inlineStr">
        <is>
          <t>Saturday</t>
        </is>
      </c>
      <c r="C118" s="41" t="n">
        <v>0</v>
      </c>
      <c r="D118" s="41" t="n">
        <v>0</v>
      </c>
      <c r="E118" s="41" t="n">
        <v>0</v>
      </c>
      <c r="F118" s="41" t="n">
        <v>0</v>
      </c>
      <c r="G118" s="41" t="n">
        <v>0</v>
      </c>
      <c r="H118" s="40">
        <f>COUNTIF(C118:G118,1)</f>
        <v/>
      </c>
      <c r="I118" s="42">
        <f>H118/5</f>
        <v/>
      </c>
      <c r="J118" s="40" t="inlineStr"/>
    </row>
    <row r="119" ht="22" customHeight="1">
      <c r="A119" s="43" t="n">
        <v>46138</v>
      </c>
      <c r="B119" s="44" t="inlineStr">
        <is>
          <t>Sunday</t>
        </is>
      </c>
      <c r="C119" s="41" t="n">
        <v>0</v>
      </c>
      <c r="D119" s="41" t="n">
        <v>0</v>
      </c>
      <c r="E119" s="41" t="n">
        <v>0</v>
      </c>
      <c r="F119" s="41" t="n">
        <v>0</v>
      </c>
      <c r="G119" s="41" t="n">
        <v>0</v>
      </c>
      <c r="H119" s="44">
        <f>COUNTIF(C119:G119,1)</f>
        <v/>
      </c>
      <c r="I119" s="45">
        <f>H119/5</f>
        <v/>
      </c>
      <c r="J119" s="44" t="inlineStr"/>
    </row>
    <row r="120" ht="22" customHeight="1">
      <c r="A120" s="39" t="n">
        <v>46139</v>
      </c>
      <c r="B120" s="40" t="inlineStr">
        <is>
          <t>Monday</t>
        </is>
      </c>
      <c r="C120" s="41" t="n">
        <v>0</v>
      </c>
      <c r="D120" s="41" t="n">
        <v>0</v>
      </c>
      <c r="E120" s="41" t="n">
        <v>0</v>
      </c>
      <c r="F120" s="41" t="n">
        <v>0</v>
      </c>
      <c r="G120" s="41" t="n">
        <v>0</v>
      </c>
      <c r="H120" s="40">
        <f>COUNTIF(C120:G120,1)</f>
        <v/>
      </c>
      <c r="I120" s="42">
        <f>H120/5</f>
        <v/>
      </c>
      <c r="J120" s="40" t="inlineStr"/>
    </row>
    <row r="121" ht="22" customHeight="1">
      <c r="A121" s="43" t="n">
        <v>46140</v>
      </c>
      <c r="B121" s="44" t="inlineStr">
        <is>
          <t>Tuesday</t>
        </is>
      </c>
      <c r="C121" s="41" t="n">
        <v>0</v>
      </c>
      <c r="D121" s="41" t="n">
        <v>0</v>
      </c>
      <c r="E121" s="41" t="n">
        <v>0</v>
      </c>
      <c r="F121" s="41" t="n">
        <v>0</v>
      </c>
      <c r="G121" s="41" t="n">
        <v>0</v>
      </c>
      <c r="H121" s="44">
        <f>COUNTIF(C121:G121,1)</f>
        <v/>
      </c>
      <c r="I121" s="45">
        <f>H121/5</f>
        <v/>
      </c>
      <c r="J121" s="44" t="inlineStr"/>
    </row>
    <row r="122" ht="22" customHeight="1">
      <c r="A122" s="39" t="n">
        <v>46141</v>
      </c>
      <c r="B122" s="40" t="inlineStr">
        <is>
          <t>Wednesday</t>
        </is>
      </c>
      <c r="C122" s="41" t="n">
        <v>0</v>
      </c>
      <c r="D122" s="41" t="n">
        <v>0</v>
      </c>
      <c r="E122" s="41" t="n">
        <v>0</v>
      </c>
      <c r="F122" s="41" t="n">
        <v>0</v>
      </c>
      <c r="G122" s="41" t="n">
        <v>0</v>
      </c>
      <c r="H122" s="40">
        <f>COUNTIF(C122:G122,1)</f>
        <v/>
      </c>
      <c r="I122" s="42">
        <f>H122/5</f>
        <v/>
      </c>
      <c r="J122" s="40" t="inlineStr"/>
    </row>
    <row r="123" ht="22" customHeight="1">
      <c r="A123" s="43" t="n">
        <v>46142</v>
      </c>
      <c r="B123" s="44" t="inlineStr">
        <is>
          <t>Thursday</t>
        </is>
      </c>
      <c r="C123" s="41" t="n">
        <v>0</v>
      </c>
      <c r="D123" s="41" t="n">
        <v>0</v>
      </c>
      <c r="E123" s="41" t="n">
        <v>0</v>
      </c>
      <c r="F123" s="41" t="n">
        <v>0</v>
      </c>
      <c r="G123" s="41" t="n">
        <v>0</v>
      </c>
      <c r="H123" s="44">
        <f>COUNTIF(C123:G123,1)</f>
        <v/>
      </c>
      <c r="I123" s="45">
        <f>H123/5</f>
        <v/>
      </c>
      <c r="J123" s="44" t="inlineStr"/>
    </row>
    <row r="124" ht="22" customHeight="1">
      <c r="A124" s="39" t="n">
        <v>46143</v>
      </c>
      <c r="B124" s="40" t="inlineStr">
        <is>
          <t>Friday</t>
        </is>
      </c>
      <c r="C124" s="41" t="n">
        <v>0</v>
      </c>
      <c r="D124" s="41" t="n">
        <v>0</v>
      </c>
      <c r="E124" s="41" t="n">
        <v>0</v>
      </c>
      <c r="F124" s="41" t="n">
        <v>0</v>
      </c>
      <c r="G124" s="41" t="n">
        <v>0</v>
      </c>
      <c r="H124" s="40">
        <f>COUNTIF(C124:G124,1)</f>
        <v/>
      </c>
      <c r="I124" s="42">
        <f>H124/5</f>
        <v/>
      </c>
      <c r="J124" s="40" t="inlineStr"/>
    </row>
    <row r="125" ht="22" customHeight="1">
      <c r="A125" s="43" t="n">
        <v>46144</v>
      </c>
      <c r="B125" s="44" t="inlineStr">
        <is>
          <t>Saturday</t>
        </is>
      </c>
      <c r="C125" s="41" t="n">
        <v>0</v>
      </c>
      <c r="D125" s="41" t="n">
        <v>0</v>
      </c>
      <c r="E125" s="41" t="n">
        <v>0</v>
      </c>
      <c r="F125" s="41" t="n">
        <v>0</v>
      </c>
      <c r="G125" s="41" t="n">
        <v>0</v>
      </c>
      <c r="H125" s="44">
        <f>COUNTIF(C125:G125,1)</f>
        <v/>
      </c>
      <c r="I125" s="45">
        <f>H125/5</f>
        <v/>
      </c>
      <c r="J125" s="44" t="inlineStr"/>
    </row>
    <row r="126" ht="22" customHeight="1">
      <c r="A126" s="39" t="n">
        <v>46145</v>
      </c>
      <c r="B126" s="40" t="inlineStr">
        <is>
          <t>Sunday</t>
        </is>
      </c>
      <c r="C126" s="41" t="n">
        <v>0</v>
      </c>
      <c r="D126" s="41" t="n">
        <v>0</v>
      </c>
      <c r="E126" s="41" t="n">
        <v>0</v>
      </c>
      <c r="F126" s="41" t="n">
        <v>0</v>
      </c>
      <c r="G126" s="41" t="n">
        <v>0</v>
      </c>
      <c r="H126" s="40">
        <f>COUNTIF(C126:G126,1)</f>
        <v/>
      </c>
      <c r="I126" s="42">
        <f>H126/5</f>
        <v/>
      </c>
      <c r="J126" s="40" t="inlineStr"/>
    </row>
    <row r="127" ht="22" customHeight="1">
      <c r="A127" s="43" t="n">
        <v>46146</v>
      </c>
      <c r="B127" s="44" t="inlineStr">
        <is>
          <t>Monday</t>
        </is>
      </c>
      <c r="C127" s="41" t="n">
        <v>0</v>
      </c>
      <c r="D127" s="41" t="n">
        <v>0</v>
      </c>
      <c r="E127" s="41" t="n">
        <v>0</v>
      </c>
      <c r="F127" s="41" t="n">
        <v>0</v>
      </c>
      <c r="G127" s="41" t="n">
        <v>0</v>
      </c>
      <c r="H127" s="44">
        <f>COUNTIF(C127:G127,1)</f>
        <v/>
      </c>
      <c r="I127" s="45">
        <f>H127/5</f>
        <v/>
      </c>
      <c r="J127" s="44" t="inlineStr"/>
    </row>
    <row r="128" ht="22" customHeight="1">
      <c r="A128" s="39" t="n">
        <v>46147</v>
      </c>
      <c r="B128" s="40" t="inlineStr">
        <is>
          <t>Tuesday</t>
        </is>
      </c>
      <c r="C128" s="41" t="n">
        <v>0</v>
      </c>
      <c r="D128" s="41" t="n">
        <v>0</v>
      </c>
      <c r="E128" s="41" t="n">
        <v>0</v>
      </c>
      <c r="F128" s="41" t="n">
        <v>0</v>
      </c>
      <c r="G128" s="41" t="n">
        <v>0</v>
      </c>
      <c r="H128" s="40">
        <f>COUNTIF(C128:G128,1)</f>
        <v/>
      </c>
      <c r="I128" s="42">
        <f>H128/5</f>
        <v/>
      </c>
      <c r="J128" s="40" t="inlineStr"/>
    </row>
    <row r="129" ht="22" customHeight="1">
      <c r="A129" s="43" t="n">
        <v>46148</v>
      </c>
      <c r="B129" s="44" t="inlineStr">
        <is>
          <t>Wednesday</t>
        </is>
      </c>
      <c r="C129" s="41" t="n">
        <v>0</v>
      </c>
      <c r="D129" s="41" t="n">
        <v>0</v>
      </c>
      <c r="E129" s="41" t="n">
        <v>0</v>
      </c>
      <c r="F129" s="41" t="n">
        <v>0</v>
      </c>
      <c r="G129" s="41" t="n">
        <v>0</v>
      </c>
      <c r="H129" s="44">
        <f>COUNTIF(C129:G129,1)</f>
        <v/>
      </c>
      <c r="I129" s="45">
        <f>H129/5</f>
        <v/>
      </c>
      <c r="J129" s="44" t="inlineStr"/>
    </row>
    <row r="130" ht="22" customHeight="1">
      <c r="A130" s="39" t="n">
        <v>46149</v>
      </c>
      <c r="B130" s="40" t="inlineStr">
        <is>
          <t>Thursday</t>
        </is>
      </c>
      <c r="C130" s="41" t="n">
        <v>0</v>
      </c>
      <c r="D130" s="41" t="n">
        <v>0</v>
      </c>
      <c r="E130" s="41" t="n">
        <v>0</v>
      </c>
      <c r="F130" s="41" t="n">
        <v>0</v>
      </c>
      <c r="G130" s="41" t="n">
        <v>0</v>
      </c>
      <c r="H130" s="40">
        <f>COUNTIF(C130:G130,1)</f>
        <v/>
      </c>
      <c r="I130" s="42">
        <f>H130/5</f>
        <v/>
      </c>
      <c r="J130" s="40" t="inlineStr"/>
    </row>
    <row r="131" ht="22" customHeight="1">
      <c r="A131" s="43" t="n">
        <v>46150</v>
      </c>
      <c r="B131" s="44" t="inlineStr">
        <is>
          <t>Friday</t>
        </is>
      </c>
      <c r="C131" s="41" t="n">
        <v>0</v>
      </c>
      <c r="D131" s="41" t="n">
        <v>0</v>
      </c>
      <c r="E131" s="41" t="n">
        <v>0</v>
      </c>
      <c r="F131" s="41" t="n">
        <v>0</v>
      </c>
      <c r="G131" s="41" t="n">
        <v>0</v>
      </c>
      <c r="H131" s="44">
        <f>COUNTIF(C131:G131,1)</f>
        <v/>
      </c>
      <c r="I131" s="45">
        <f>H131/5</f>
        <v/>
      </c>
      <c r="J131" s="44" t="inlineStr"/>
    </row>
    <row r="132" ht="22" customHeight="1">
      <c r="A132" s="39" t="n">
        <v>46151</v>
      </c>
      <c r="B132" s="40" t="inlineStr">
        <is>
          <t>Saturday</t>
        </is>
      </c>
      <c r="C132" s="41" t="n">
        <v>0</v>
      </c>
      <c r="D132" s="41" t="n">
        <v>0</v>
      </c>
      <c r="E132" s="41" t="n">
        <v>0</v>
      </c>
      <c r="F132" s="41" t="n">
        <v>0</v>
      </c>
      <c r="G132" s="41" t="n">
        <v>0</v>
      </c>
      <c r="H132" s="40">
        <f>COUNTIF(C132:G132,1)</f>
        <v/>
      </c>
      <c r="I132" s="42">
        <f>H132/5</f>
        <v/>
      </c>
      <c r="J132" s="40" t="inlineStr"/>
    </row>
    <row r="133" ht="22" customHeight="1">
      <c r="A133" s="43" t="n">
        <v>46152</v>
      </c>
      <c r="B133" s="44" t="inlineStr">
        <is>
          <t>Sunday</t>
        </is>
      </c>
      <c r="C133" s="41" t="n">
        <v>0</v>
      </c>
      <c r="D133" s="41" t="n">
        <v>0</v>
      </c>
      <c r="E133" s="41" t="n">
        <v>0</v>
      </c>
      <c r="F133" s="41" t="n">
        <v>0</v>
      </c>
      <c r="G133" s="41" t="n">
        <v>0</v>
      </c>
      <c r="H133" s="44">
        <f>COUNTIF(C133:G133,1)</f>
        <v/>
      </c>
      <c r="I133" s="45">
        <f>H133/5</f>
        <v/>
      </c>
      <c r="J133" s="44" t="inlineStr"/>
    </row>
    <row r="134" ht="22" customHeight="1">
      <c r="A134" s="39" t="n">
        <v>46153</v>
      </c>
      <c r="B134" s="40" t="inlineStr">
        <is>
          <t>Monday</t>
        </is>
      </c>
      <c r="C134" s="41" t="n">
        <v>0</v>
      </c>
      <c r="D134" s="41" t="n">
        <v>0</v>
      </c>
      <c r="E134" s="41" t="n">
        <v>0</v>
      </c>
      <c r="F134" s="41" t="n">
        <v>0</v>
      </c>
      <c r="G134" s="41" t="n">
        <v>0</v>
      </c>
      <c r="H134" s="40">
        <f>COUNTIF(C134:G134,1)</f>
        <v/>
      </c>
      <c r="I134" s="42">
        <f>H134/5</f>
        <v/>
      </c>
      <c r="J134" s="40" t="inlineStr"/>
    </row>
    <row r="135" ht="22" customHeight="1">
      <c r="A135" s="43" t="n">
        <v>46154</v>
      </c>
      <c r="B135" s="44" t="inlineStr">
        <is>
          <t>Tuesday</t>
        </is>
      </c>
      <c r="C135" s="41" t="n">
        <v>0</v>
      </c>
      <c r="D135" s="41" t="n">
        <v>0</v>
      </c>
      <c r="E135" s="41" t="n">
        <v>0</v>
      </c>
      <c r="F135" s="41" t="n">
        <v>0</v>
      </c>
      <c r="G135" s="41" t="n">
        <v>0</v>
      </c>
      <c r="H135" s="44">
        <f>COUNTIF(C135:G135,1)</f>
        <v/>
      </c>
      <c r="I135" s="45">
        <f>H135/5</f>
        <v/>
      </c>
      <c r="J135" s="44" t="inlineStr"/>
    </row>
    <row r="136" ht="22" customHeight="1">
      <c r="A136" s="39" t="n">
        <v>46155</v>
      </c>
      <c r="B136" s="40" t="inlineStr">
        <is>
          <t>Wednesday</t>
        </is>
      </c>
      <c r="C136" s="41" t="n">
        <v>0</v>
      </c>
      <c r="D136" s="41" t="n">
        <v>0</v>
      </c>
      <c r="E136" s="41" t="n">
        <v>0</v>
      </c>
      <c r="F136" s="41" t="n">
        <v>0</v>
      </c>
      <c r="G136" s="41" t="n">
        <v>0</v>
      </c>
      <c r="H136" s="40">
        <f>COUNTIF(C136:G136,1)</f>
        <v/>
      </c>
      <c r="I136" s="42">
        <f>H136/5</f>
        <v/>
      </c>
      <c r="J136" s="40" t="inlineStr"/>
    </row>
    <row r="137" ht="22" customHeight="1">
      <c r="A137" s="43" t="n">
        <v>46156</v>
      </c>
      <c r="B137" s="44" t="inlineStr">
        <is>
          <t>Thursday</t>
        </is>
      </c>
      <c r="C137" s="41" t="n">
        <v>0</v>
      </c>
      <c r="D137" s="41" t="n">
        <v>0</v>
      </c>
      <c r="E137" s="41" t="n">
        <v>0</v>
      </c>
      <c r="F137" s="41" t="n">
        <v>0</v>
      </c>
      <c r="G137" s="41" t="n">
        <v>0</v>
      </c>
      <c r="H137" s="44">
        <f>COUNTIF(C137:G137,1)</f>
        <v/>
      </c>
      <c r="I137" s="45">
        <f>H137/5</f>
        <v/>
      </c>
      <c r="J137" s="44" t="inlineStr"/>
    </row>
    <row r="138" ht="22" customHeight="1">
      <c r="A138" s="39" t="n">
        <v>46157</v>
      </c>
      <c r="B138" s="40" t="inlineStr">
        <is>
          <t>Friday</t>
        </is>
      </c>
      <c r="C138" s="41" t="n">
        <v>0</v>
      </c>
      <c r="D138" s="41" t="n">
        <v>0</v>
      </c>
      <c r="E138" s="41" t="n">
        <v>0</v>
      </c>
      <c r="F138" s="41" t="n">
        <v>0</v>
      </c>
      <c r="G138" s="41" t="n">
        <v>0</v>
      </c>
      <c r="H138" s="40">
        <f>COUNTIF(C138:G138,1)</f>
        <v/>
      </c>
      <c r="I138" s="42">
        <f>H138/5</f>
        <v/>
      </c>
      <c r="J138" s="40" t="inlineStr"/>
    </row>
    <row r="139" ht="22" customHeight="1">
      <c r="A139" s="43" t="n">
        <v>46158</v>
      </c>
      <c r="B139" s="44" t="inlineStr">
        <is>
          <t>Saturday</t>
        </is>
      </c>
      <c r="C139" s="41" t="n">
        <v>0</v>
      </c>
      <c r="D139" s="41" t="n">
        <v>0</v>
      </c>
      <c r="E139" s="41" t="n">
        <v>0</v>
      </c>
      <c r="F139" s="41" t="n">
        <v>0</v>
      </c>
      <c r="G139" s="41" t="n">
        <v>0</v>
      </c>
      <c r="H139" s="44">
        <f>COUNTIF(C139:G139,1)</f>
        <v/>
      </c>
      <c r="I139" s="45">
        <f>H139/5</f>
        <v/>
      </c>
      <c r="J139" s="44" t="inlineStr"/>
    </row>
    <row r="140" ht="22" customHeight="1">
      <c r="A140" s="39" t="n">
        <v>46159</v>
      </c>
      <c r="B140" s="40" t="inlineStr">
        <is>
          <t>Sunday</t>
        </is>
      </c>
      <c r="C140" s="41" t="n">
        <v>0</v>
      </c>
      <c r="D140" s="41" t="n">
        <v>0</v>
      </c>
      <c r="E140" s="41" t="n">
        <v>0</v>
      </c>
      <c r="F140" s="41" t="n">
        <v>0</v>
      </c>
      <c r="G140" s="41" t="n">
        <v>0</v>
      </c>
      <c r="H140" s="40">
        <f>COUNTIF(C140:G140,1)</f>
        <v/>
      </c>
      <c r="I140" s="42">
        <f>H140/5</f>
        <v/>
      </c>
      <c r="J140" s="40" t="inlineStr"/>
    </row>
    <row r="141" ht="22" customHeight="1">
      <c r="A141" s="43" t="n">
        <v>46160</v>
      </c>
      <c r="B141" s="44" t="inlineStr">
        <is>
          <t>Monday</t>
        </is>
      </c>
      <c r="C141" s="41" t="n">
        <v>0</v>
      </c>
      <c r="D141" s="41" t="n">
        <v>0</v>
      </c>
      <c r="E141" s="41" t="n">
        <v>0</v>
      </c>
      <c r="F141" s="41" t="n">
        <v>0</v>
      </c>
      <c r="G141" s="41" t="n">
        <v>0</v>
      </c>
      <c r="H141" s="44">
        <f>COUNTIF(C141:G141,1)</f>
        <v/>
      </c>
      <c r="I141" s="45">
        <f>H141/5</f>
        <v/>
      </c>
      <c r="J141" s="44" t="inlineStr"/>
    </row>
    <row r="142" ht="22" customHeight="1">
      <c r="A142" s="39" t="n">
        <v>46161</v>
      </c>
      <c r="B142" s="40" t="inlineStr">
        <is>
          <t>Tuesday</t>
        </is>
      </c>
      <c r="C142" s="41" t="n">
        <v>0</v>
      </c>
      <c r="D142" s="41" t="n">
        <v>0</v>
      </c>
      <c r="E142" s="41" t="n">
        <v>0</v>
      </c>
      <c r="F142" s="41" t="n">
        <v>0</v>
      </c>
      <c r="G142" s="41" t="n">
        <v>0</v>
      </c>
      <c r="H142" s="40">
        <f>COUNTIF(C142:G142,1)</f>
        <v/>
      </c>
      <c r="I142" s="42">
        <f>H142/5</f>
        <v/>
      </c>
      <c r="J142" s="40" t="inlineStr"/>
    </row>
    <row r="143" ht="22" customHeight="1">
      <c r="A143" s="43" t="n">
        <v>46162</v>
      </c>
      <c r="B143" s="44" t="inlineStr">
        <is>
          <t>Wednesday</t>
        </is>
      </c>
      <c r="C143" s="41" t="n">
        <v>0</v>
      </c>
      <c r="D143" s="41" t="n">
        <v>0</v>
      </c>
      <c r="E143" s="41" t="n">
        <v>0</v>
      </c>
      <c r="F143" s="41" t="n">
        <v>0</v>
      </c>
      <c r="G143" s="41" t="n">
        <v>0</v>
      </c>
      <c r="H143" s="44">
        <f>COUNTIF(C143:G143,1)</f>
        <v/>
      </c>
      <c r="I143" s="45">
        <f>H143/5</f>
        <v/>
      </c>
      <c r="J143" s="44" t="inlineStr"/>
    </row>
    <row r="144" ht="22" customHeight="1">
      <c r="A144" s="39" t="n">
        <v>46163</v>
      </c>
      <c r="B144" s="40" t="inlineStr">
        <is>
          <t>Thursday</t>
        </is>
      </c>
      <c r="C144" s="41" t="n">
        <v>0</v>
      </c>
      <c r="D144" s="41" t="n">
        <v>0</v>
      </c>
      <c r="E144" s="41" t="n">
        <v>0</v>
      </c>
      <c r="F144" s="41" t="n">
        <v>0</v>
      </c>
      <c r="G144" s="41" t="n">
        <v>0</v>
      </c>
      <c r="H144" s="40">
        <f>COUNTIF(C144:G144,1)</f>
        <v/>
      </c>
      <c r="I144" s="42">
        <f>H144/5</f>
        <v/>
      </c>
      <c r="J144" s="40" t="inlineStr"/>
    </row>
    <row r="145" ht="22" customHeight="1">
      <c r="A145" s="43" t="n">
        <v>46164</v>
      </c>
      <c r="B145" s="44" t="inlineStr">
        <is>
          <t>Friday</t>
        </is>
      </c>
      <c r="C145" s="41" t="n">
        <v>0</v>
      </c>
      <c r="D145" s="41" t="n">
        <v>0</v>
      </c>
      <c r="E145" s="41" t="n">
        <v>0</v>
      </c>
      <c r="F145" s="41" t="n">
        <v>0</v>
      </c>
      <c r="G145" s="41" t="n">
        <v>0</v>
      </c>
      <c r="H145" s="44">
        <f>COUNTIF(C145:G145,1)</f>
        <v/>
      </c>
      <c r="I145" s="45">
        <f>H145/5</f>
        <v/>
      </c>
      <c r="J145" s="44" t="inlineStr"/>
    </row>
    <row r="146" ht="22" customHeight="1">
      <c r="A146" s="39" t="n">
        <v>46165</v>
      </c>
      <c r="B146" s="40" t="inlineStr">
        <is>
          <t>Saturday</t>
        </is>
      </c>
      <c r="C146" s="41" t="n">
        <v>0</v>
      </c>
      <c r="D146" s="41" t="n">
        <v>0</v>
      </c>
      <c r="E146" s="41" t="n">
        <v>0</v>
      </c>
      <c r="F146" s="41" t="n">
        <v>0</v>
      </c>
      <c r="G146" s="41" t="n">
        <v>0</v>
      </c>
      <c r="H146" s="40">
        <f>COUNTIF(C146:G146,1)</f>
        <v/>
      </c>
      <c r="I146" s="42">
        <f>H146/5</f>
        <v/>
      </c>
      <c r="J146" s="40" t="inlineStr"/>
    </row>
    <row r="147" ht="22" customHeight="1">
      <c r="A147" s="43" t="n">
        <v>46166</v>
      </c>
      <c r="B147" s="44" t="inlineStr">
        <is>
          <t>Sunday</t>
        </is>
      </c>
      <c r="C147" s="41" t="n">
        <v>0</v>
      </c>
      <c r="D147" s="41" t="n">
        <v>0</v>
      </c>
      <c r="E147" s="41" t="n">
        <v>0</v>
      </c>
      <c r="F147" s="41" t="n">
        <v>0</v>
      </c>
      <c r="G147" s="41" t="n">
        <v>0</v>
      </c>
      <c r="H147" s="44">
        <f>COUNTIF(C147:G147,1)</f>
        <v/>
      </c>
      <c r="I147" s="45">
        <f>H147/5</f>
        <v/>
      </c>
      <c r="J147" s="44" t="inlineStr"/>
    </row>
    <row r="148" ht="22" customHeight="1">
      <c r="A148" s="39" t="n">
        <v>46167</v>
      </c>
      <c r="B148" s="40" t="inlineStr">
        <is>
          <t>Monday</t>
        </is>
      </c>
      <c r="C148" s="41" t="n">
        <v>0</v>
      </c>
      <c r="D148" s="41" t="n">
        <v>0</v>
      </c>
      <c r="E148" s="41" t="n">
        <v>0</v>
      </c>
      <c r="F148" s="41" t="n">
        <v>0</v>
      </c>
      <c r="G148" s="41" t="n">
        <v>0</v>
      </c>
      <c r="H148" s="40">
        <f>COUNTIF(C148:G148,1)</f>
        <v/>
      </c>
      <c r="I148" s="42">
        <f>H148/5</f>
        <v/>
      </c>
      <c r="J148" s="40" t="inlineStr"/>
    </row>
    <row r="149" ht="22" customHeight="1">
      <c r="A149" s="43" t="n">
        <v>46168</v>
      </c>
      <c r="B149" s="44" t="inlineStr">
        <is>
          <t>Tuesday</t>
        </is>
      </c>
      <c r="C149" s="41" t="n">
        <v>0</v>
      </c>
      <c r="D149" s="41" t="n">
        <v>0</v>
      </c>
      <c r="E149" s="41" t="n">
        <v>0</v>
      </c>
      <c r="F149" s="41" t="n">
        <v>0</v>
      </c>
      <c r="G149" s="41" t="n">
        <v>0</v>
      </c>
      <c r="H149" s="44">
        <f>COUNTIF(C149:G149,1)</f>
        <v/>
      </c>
      <c r="I149" s="45">
        <f>H149/5</f>
        <v/>
      </c>
      <c r="J149" s="44" t="inlineStr"/>
    </row>
    <row r="150" ht="22" customHeight="1">
      <c r="A150" s="39" t="n">
        <v>46169</v>
      </c>
      <c r="B150" s="40" t="inlineStr">
        <is>
          <t>Wednesday</t>
        </is>
      </c>
      <c r="C150" s="41" t="n">
        <v>0</v>
      </c>
      <c r="D150" s="41" t="n">
        <v>0</v>
      </c>
      <c r="E150" s="41" t="n">
        <v>0</v>
      </c>
      <c r="F150" s="41" t="n">
        <v>0</v>
      </c>
      <c r="G150" s="41" t="n">
        <v>0</v>
      </c>
      <c r="H150" s="40">
        <f>COUNTIF(C150:G150,1)</f>
        <v/>
      </c>
      <c r="I150" s="42">
        <f>H150/5</f>
        <v/>
      </c>
      <c r="J150" s="40" t="inlineStr"/>
    </row>
    <row r="151" ht="22" customHeight="1">
      <c r="A151" s="43" t="n">
        <v>46170</v>
      </c>
      <c r="B151" s="44" t="inlineStr">
        <is>
          <t>Thursday</t>
        </is>
      </c>
      <c r="C151" s="41" t="n">
        <v>0</v>
      </c>
      <c r="D151" s="41" t="n">
        <v>0</v>
      </c>
      <c r="E151" s="41" t="n">
        <v>0</v>
      </c>
      <c r="F151" s="41" t="n">
        <v>0</v>
      </c>
      <c r="G151" s="41" t="n">
        <v>0</v>
      </c>
      <c r="H151" s="44">
        <f>COUNTIF(C151:G151,1)</f>
        <v/>
      </c>
      <c r="I151" s="45">
        <f>H151/5</f>
        <v/>
      </c>
      <c r="J151" s="44" t="inlineStr"/>
    </row>
    <row r="152" ht="22" customHeight="1">
      <c r="A152" s="39" t="n">
        <v>46171</v>
      </c>
      <c r="B152" s="40" t="inlineStr">
        <is>
          <t>Friday</t>
        </is>
      </c>
      <c r="C152" s="41" t="n">
        <v>0</v>
      </c>
      <c r="D152" s="41" t="n">
        <v>0</v>
      </c>
      <c r="E152" s="41" t="n">
        <v>0</v>
      </c>
      <c r="F152" s="41" t="n">
        <v>0</v>
      </c>
      <c r="G152" s="41" t="n">
        <v>0</v>
      </c>
      <c r="H152" s="40">
        <f>COUNTIF(C152:G152,1)</f>
        <v/>
      </c>
      <c r="I152" s="42">
        <f>H152/5</f>
        <v/>
      </c>
      <c r="J152" s="40" t="inlineStr"/>
    </row>
    <row r="153" ht="22" customHeight="1">
      <c r="A153" s="43" t="n">
        <v>46172</v>
      </c>
      <c r="B153" s="44" t="inlineStr">
        <is>
          <t>Saturday</t>
        </is>
      </c>
      <c r="C153" s="41" t="n">
        <v>0</v>
      </c>
      <c r="D153" s="41" t="n">
        <v>0</v>
      </c>
      <c r="E153" s="41" t="n">
        <v>0</v>
      </c>
      <c r="F153" s="41" t="n">
        <v>0</v>
      </c>
      <c r="G153" s="41" t="n">
        <v>0</v>
      </c>
      <c r="H153" s="44">
        <f>COUNTIF(C153:G153,1)</f>
        <v/>
      </c>
      <c r="I153" s="45">
        <f>H153/5</f>
        <v/>
      </c>
      <c r="J153" s="44" t="inlineStr"/>
    </row>
    <row r="154" ht="22" customHeight="1">
      <c r="A154" s="39" t="n">
        <v>46173</v>
      </c>
      <c r="B154" s="40" t="inlineStr">
        <is>
          <t>Sunday</t>
        </is>
      </c>
      <c r="C154" s="41" t="n">
        <v>0</v>
      </c>
      <c r="D154" s="41" t="n">
        <v>0</v>
      </c>
      <c r="E154" s="41" t="n">
        <v>0</v>
      </c>
      <c r="F154" s="41" t="n">
        <v>0</v>
      </c>
      <c r="G154" s="41" t="n">
        <v>0</v>
      </c>
      <c r="H154" s="40">
        <f>COUNTIF(C154:G154,1)</f>
        <v/>
      </c>
      <c r="I154" s="42">
        <f>H154/5</f>
        <v/>
      </c>
      <c r="J154" s="40" t="inlineStr"/>
    </row>
    <row r="155" ht="22" customHeight="1">
      <c r="A155" s="43" t="n">
        <v>46174</v>
      </c>
      <c r="B155" s="44" t="inlineStr">
        <is>
          <t>Monday</t>
        </is>
      </c>
      <c r="C155" s="41" t="n">
        <v>0</v>
      </c>
      <c r="D155" s="41" t="n">
        <v>0</v>
      </c>
      <c r="E155" s="41" t="n">
        <v>0</v>
      </c>
      <c r="F155" s="41" t="n">
        <v>0</v>
      </c>
      <c r="G155" s="41" t="n">
        <v>0</v>
      </c>
      <c r="H155" s="44">
        <f>COUNTIF(C155:G155,1)</f>
        <v/>
      </c>
      <c r="I155" s="45">
        <f>H155/5</f>
        <v/>
      </c>
      <c r="J155" s="44" t="inlineStr"/>
    </row>
    <row r="156" ht="22" customHeight="1">
      <c r="A156" s="39" t="n">
        <v>46175</v>
      </c>
      <c r="B156" s="40" t="inlineStr">
        <is>
          <t>Tuesday</t>
        </is>
      </c>
      <c r="C156" s="41" t="n">
        <v>0</v>
      </c>
      <c r="D156" s="41" t="n">
        <v>0</v>
      </c>
      <c r="E156" s="41" t="n">
        <v>0</v>
      </c>
      <c r="F156" s="41" t="n">
        <v>0</v>
      </c>
      <c r="G156" s="41" t="n">
        <v>0</v>
      </c>
      <c r="H156" s="40">
        <f>COUNTIF(C156:G156,1)</f>
        <v/>
      </c>
      <c r="I156" s="42">
        <f>H156/5</f>
        <v/>
      </c>
      <c r="J156" s="40" t="inlineStr"/>
    </row>
    <row r="157" ht="22" customHeight="1">
      <c r="A157" s="43" t="n">
        <v>46176</v>
      </c>
      <c r="B157" s="44" t="inlineStr">
        <is>
          <t>Wednesday</t>
        </is>
      </c>
      <c r="C157" s="41" t="n">
        <v>0</v>
      </c>
      <c r="D157" s="41" t="n">
        <v>0</v>
      </c>
      <c r="E157" s="41" t="n">
        <v>0</v>
      </c>
      <c r="F157" s="41" t="n">
        <v>0</v>
      </c>
      <c r="G157" s="41" t="n">
        <v>0</v>
      </c>
      <c r="H157" s="44">
        <f>COUNTIF(C157:G157,1)</f>
        <v/>
      </c>
      <c r="I157" s="45">
        <f>H157/5</f>
        <v/>
      </c>
      <c r="J157" s="44" t="inlineStr"/>
    </row>
    <row r="158" ht="22" customHeight="1">
      <c r="A158" s="39" t="n">
        <v>46177</v>
      </c>
      <c r="B158" s="40" t="inlineStr">
        <is>
          <t>Thursday</t>
        </is>
      </c>
      <c r="C158" s="41" t="n">
        <v>0</v>
      </c>
      <c r="D158" s="41" t="n">
        <v>0</v>
      </c>
      <c r="E158" s="41" t="n">
        <v>0</v>
      </c>
      <c r="F158" s="41" t="n">
        <v>0</v>
      </c>
      <c r="G158" s="41" t="n">
        <v>0</v>
      </c>
      <c r="H158" s="40">
        <f>COUNTIF(C158:G158,1)</f>
        <v/>
      </c>
      <c r="I158" s="42">
        <f>H158/5</f>
        <v/>
      </c>
      <c r="J158" s="40" t="inlineStr"/>
    </row>
    <row r="159" ht="22" customHeight="1">
      <c r="A159" s="43" t="n">
        <v>46178</v>
      </c>
      <c r="B159" s="44" t="inlineStr">
        <is>
          <t>Friday</t>
        </is>
      </c>
      <c r="C159" s="41" t="n">
        <v>0</v>
      </c>
      <c r="D159" s="41" t="n">
        <v>0</v>
      </c>
      <c r="E159" s="41" t="n">
        <v>0</v>
      </c>
      <c r="F159" s="41" t="n">
        <v>0</v>
      </c>
      <c r="G159" s="41" t="n">
        <v>0</v>
      </c>
      <c r="H159" s="44">
        <f>COUNTIF(C159:G159,1)</f>
        <v/>
      </c>
      <c r="I159" s="45">
        <f>H159/5</f>
        <v/>
      </c>
      <c r="J159" s="44" t="inlineStr"/>
    </row>
    <row r="160" ht="22" customHeight="1">
      <c r="A160" s="39" t="n">
        <v>46179</v>
      </c>
      <c r="B160" s="40" t="inlineStr">
        <is>
          <t>Saturday</t>
        </is>
      </c>
      <c r="C160" s="41" t="n">
        <v>0</v>
      </c>
      <c r="D160" s="41" t="n">
        <v>0</v>
      </c>
      <c r="E160" s="41" t="n">
        <v>0</v>
      </c>
      <c r="F160" s="41" t="n">
        <v>0</v>
      </c>
      <c r="G160" s="41" t="n">
        <v>0</v>
      </c>
      <c r="H160" s="40">
        <f>COUNTIF(C160:G160,1)</f>
        <v/>
      </c>
      <c r="I160" s="42">
        <f>H160/5</f>
        <v/>
      </c>
      <c r="J160" s="40" t="inlineStr"/>
    </row>
    <row r="161" ht="22" customHeight="1">
      <c r="A161" s="43" t="n">
        <v>46180</v>
      </c>
      <c r="B161" s="44" t="inlineStr">
        <is>
          <t>Sunday</t>
        </is>
      </c>
      <c r="C161" s="41" t="n">
        <v>0</v>
      </c>
      <c r="D161" s="41" t="n">
        <v>0</v>
      </c>
      <c r="E161" s="41" t="n">
        <v>0</v>
      </c>
      <c r="F161" s="41" t="n">
        <v>0</v>
      </c>
      <c r="G161" s="41" t="n">
        <v>0</v>
      </c>
      <c r="H161" s="44">
        <f>COUNTIF(C161:G161,1)</f>
        <v/>
      </c>
      <c r="I161" s="45">
        <f>H161/5</f>
        <v/>
      </c>
      <c r="J161" s="44" t="inlineStr"/>
    </row>
    <row r="162" ht="22" customHeight="1">
      <c r="A162" s="39" t="n">
        <v>46181</v>
      </c>
      <c r="B162" s="40" t="inlineStr">
        <is>
          <t>Monday</t>
        </is>
      </c>
      <c r="C162" s="41" t="n">
        <v>0</v>
      </c>
      <c r="D162" s="41" t="n">
        <v>0</v>
      </c>
      <c r="E162" s="41" t="n">
        <v>0</v>
      </c>
      <c r="F162" s="41" t="n">
        <v>0</v>
      </c>
      <c r="G162" s="41" t="n">
        <v>0</v>
      </c>
      <c r="H162" s="40">
        <f>COUNTIF(C162:G162,1)</f>
        <v/>
      </c>
      <c r="I162" s="42">
        <f>H162/5</f>
        <v/>
      </c>
      <c r="J162" s="40" t="inlineStr"/>
    </row>
    <row r="163" ht="22" customHeight="1">
      <c r="A163" s="43" t="n">
        <v>46182</v>
      </c>
      <c r="B163" s="44" t="inlineStr">
        <is>
          <t>Tuesday</t>
        </is>
      </c>
      <c r="C163" s="41" t="n">
        <v>0</v>
      </c>
      <c r="D163" s="41" t="n">
        <v>0</v>
      </c>
      <c r="E163" s="41" t="n">
        <v>0</v>
      </c>
      <c r="F163" s="41" t="n">
        <v>0</v>
      </c>
      <c r="G163" s="41" t="n">
        <v>0</v>
      </c>
      <c r="H163" s="44">
        <f>COUNTIF(C163:G163,1)</f>
        <v/>
      </c>
      <c r="I163" s="45">
        <f>H163/5</f>
        <v/>
      </c>
      <c r="J163" s="44" t="inlineStr"/>
    </row>
    <row r="164" ht="22" customHeight="1">
      <c r="A164" s="39" t="n">
        <v>46183</v>
      </c>
      <c r="B164" s="40" t="inlineStr">
        <is>
          <t>Wednesday</t>
        </is>
      </c>
      <c r="C164" s="41" t="n">
        <v>0</v>
      </c>
      <c r="D164" s="41" t="n">
        <v>0</v>
      </c>
      <c r="E164" s="41" t="n">
        <v>0</v>
      </c>
      <c r="F164" s="41" t="n">
        <v>0</v>
      </c>
      <c r="G164" s="41" t="n">
        <v>0</v>
      </c>
      <c r="H164" s="40">
        <f>COUNTIF(C164:G164,1)</f>
        <v/>
      </c>
      <c r="I164" s="42">
        <f>H164/5</f>
        <v/>
      </c>
      <c r="J164" s="40" t="inlineStr"/>
    </row>
    <row r="165" ht="22" customHeight="1">
      <c r="A165" s="43" t="n">
        <v>46184</v>
      </c>
      <c r="B165" s="44" t="inlineStr">
        <is>
          <t>Thursday</t>
        </is>
      </c>
      <c r="C165" s="41" t="n">
        <v>0</v>
      </c>
      <c r="D165" s="41" t="n">
        <v>0</v>
      </c>
      <c r="E165" s="41" t="n">
        <v>0</v>
      </c>
      <c r="F165" s="41" t="n">
        <v>0</v>
      </c>
      <c r="G165" s="41" t="n">
        <v>0</v>
      </c>
      <c r="H165" s="44">
        <f>COUNTIF(C165:G165,1)</f>
        <v/>
      </c>
      <c r="I165" s="45">
        <f>H165/5</f>
        <v/>
      </c>
      <c r="J165" s="44" t="inlineStr"/>
    </row>
    <row r="166" ht="22" customHeight="1">
      <c r="A166" s="39" t="n">
        <v>46185</v>
      </c>
      <c r="B166" s="40" t="inlineStr">
        <is>
          <t>Friday</t>
        </is>
      </c>
      <c r="C166" s="41" t="n">
        <v>0</v>
      </c>
      <c r="D166" s="41" t="n">
        <v>0</v>
      </c>
      <c r="E166" s="41" t="n">
        <v>0</v>
      </c>
      <c r="F166" s="41" t="n">
        <v>0</v>
      </c>
      <c r="G166" s="41" t="n">
        <v>0</v>
      </c>
      <c r="H166" s="40">
        <f>COUNTIF(C166:G166,1)</f>
        <v/>
      </c>
      <c r="I166" s="42">
        <f>H166/5</f>
        <v/>
      </c>
      <c r="J166" s="40" t="inlineStr"/>
    </row>
    <row r="167" ht="22" customHeight="1">
      <c r="A167" s="43" t="n">
        <v>46186</v>
      </c>
      <c r="B167" s="44" t="inlineStr">
        <is>
          <t>Saturday</t>
        </is>
      </c>
      <c r="C167" s="41" t="n">
        <v>0</v>
      </c>
      <c r="D167" s="41" t="n">
        <v>0</v>
      </c>
      <c r="E167" s="41" t="n">
        <v>0</v>
      </c>
      <c r="F167" s="41" t="n">
        <v>0</v>
      </c>
      <c r="G167" s="41" t="n">
        <v>0</v>
      </c>
      <c r="H167" s="44">
        <f>COUNTIF(C167:G167,1)</f>
        <v/>
      </c>
      <c r="I167" s="45">
        <f>H167/5</f>
        <v/>
      </c>
      <c r="J167" s="44" t="inlineStr"/>
    </row>
    <row r="168" ht="22" customHeight="1">
      <c r="A168" s="39" t="n">
        <v>46187</v>
      </c>
      <c r="B168" s="40" t="inlineStr">
        <is>
          <t>Sunday</t>
        </is>
      </c>
      <c r="C168" s="41" t="n">
        <v>0</v>
      </c>
      <c r="D168" s="41" t="n">
        <v>0</v>
      </c>
      <c r="E168" s="41" t="n">
        <v>0</v>
      </c>
      <c r="F168" s="41" t="n">
        <v>0</v>
      </c>
      <c r="G168" s="41" t="n">
        <v>0</v>
      </c>
      <c r="H168" s="40">
        <f>COUNTIF(C168:G168,1)</f>
        <v/>
      </c>
      <c r="I168" s="42">
        <f>H168/5</f>
        <v/>
      </c>
      <c r="J168" s="40" t="inlineStr"/>
    </row>
    <row r="169" ht="22" customHeight="1">
      <c r="A169" s="43" t="n">
        <v>46188</v>
      </c>
      <c r="B169" s="44" t="inlineStr">
        <is>
          <t>Monday</t>
        </is>
      </c>
      <c r="C169" s="41" t="n">
        <v>0</v>
      </c>
      <c r="D169" s="41" t="n">
        <v>0</v>
      </c>
      <c r="E169" s="41" t="n">
        <v>0</v>
      </c>
      <c r="F169" s="41" t="n">
        <v>0</v>
      </c>
      <c r="G169" s="41" t="n">
        <v>0</v>
      </c>
      <c r="H169" s="44">
        <f>COUNTIF(C169:G169,1)</f>
        <v/>
      </c>
      <c r="I169" s="45">
        <f>H169/5</f>
        <v/>
      </c>
      <c r="J169" s="44" t="inlineStr"/>
    </row>
    <row r="170" ht="22" customHeight="1">
      <c r="A170" s="39" t="n">
        <v>46189</v>
      </c>
      <c r="B170" s="40" t="inlineStr">
        <is>
          <t>Tuesday</t>
        </is>
      </c>
      <c r="C170" s="41" t="n">
        <v>0</v>
      </c>
      <c r="D170" s="41" t="n">
        <v>0</v>
      </c>
      <c r="E170" s="41" t="n">
        <v>0</v>
      </c>
      <c r="F170" s="41" t="n">
        <v>0</v>
      </c>
      <c r="G170" s="41" t="n">
        <v>0</v>
      </c>
      <c r="H170" s="40">
        <f>COUNTIF(C170:G170,1)</f>
        <v/>
      </c>
      <c r="I170" s="42">
        <f>H170/5</f>
        <v/>
      </c>
      <c r="J170" s="40" t="inlineStr"/>
    </row>
    <row r="171" ht="22" customHeight="1">
      <c r="A171" s="43" t="n">
        <v>46190</v>
      </c>
      <c r="B171" s="44" t="inlineStr">
        <is>
          <t>Wednesday</t>
        </is>
      </c>
      <c r="C171" s="41" t="n">
        <v>0</v>
      </c>
      <c r="D171" s="41" t="n">
        <v>0</v>
      </c>
      <c r="E171" s="41" t="n">
        <v>0</v>
      </c>
      <c r="F171" s="41" t="n">
        <v>0</v>
      </c>
      <c r="G171" s="41" t="n">
        <v>0</v>
      </c>
      <c r="H171" s="44">
        <f>COUNTIF(C171:G171,1)</f>
        <v/>
      </c>
      <c r="I171" s="45">
        <f>H171/5</f>
        <v/>
      </c>
      <c r="J171" s="44" t="inlineStr"/>
    </row>
    <row r="172" ht="22" customHeight="1">
      <c r="A172" s="39" t="n">
        <v>46191</v>
      </c>
      <c r="B172" s="40" t="inlineStr">
        <is>
          <t>Thursday</t>
        </is>
      </c>
      <c r="C172" s="41" t="n">
        <v>0</v>
      </c>
      <c r="D172" s="41" t="n">
        <v>0</v>
      </c>
      <c r="E172" s="41" t="n">
        <v>0</v>
      </c>
      <c r="F172" s="41" t="n">
        <v>0</v>
      </c>
      <c r="G172" s="41" t="n">
        <v>0</v>
      </c>
      <c r="H172" s="40">
        <f>COUNTIF(C172:G172,1)</f>
        <v/>
      </c>
      <c r="I172" s="42">
        <f>H172/5</f>
        <v/>
      </c>
      <c r="J172" s="40" t="inlineStr"/>
    </row>
    <row r="173" ht="22" customHeight="1">
      <c r="A173" s="43" t="n">
        <v>46192</v>
      </c>
      <c r="B173" s="44" t="inlineStr">
        <is>
          <t>Friday</t>
        </is>
      </c>
      <c r="C173" s="41" t="n">
        <v>0</v>
      </c>
      <c r="D173" s="41" t="n">
        <v>0</v>
      </c>
      <c r="E173" s="41" t="n">
        <v>0</v>
      </c>
      <c r="F173" s="41" t="n">
        <v>0</v>
      </c>
      <c r="G173" s="41" t="n">
        <v>0</v>
      </c>
      <c r="H173" s="44">
        <f>COUNTIF(C173:G173,1)</f>
        <v/>
      </c>
      <c r="I173" s="45">
        <f>H173/5</f>
        <v/>
      </c>
      <c r="J173" s="44" t="inlineStr"/>
    </row>
    <row r="174" ht="22" customHeight="1">
      <c r="A174" s="39" t="n">
        <v>46193</v>
      </c>
      <c r="B174" s="40" t="inlineStr">
        <is>
          <t>Saturday</t>
        </is>
      </c>
      <c r="C174" s="41" t="n">
        <v>0</v>
      </c>
      <c r="D174" s="41" t="n">
        <v>0</v>
      </c>
      <c r="E174" s="41" t="n">
        <v>0</v>
      </c>
      <c r="F174" s="41" t="n">
        <v>0</v>
      </c>
      <c r="G174" s="41" t="n">
        <v>0</v>
      </c>
      <c r="H174" s="40">
        <f>COUNTIF(C174:G174,1)</f>
        <v/>
      </c>
      <c r="I174" s="42">
        <f>H174/5</f>
        <v/>
      </c>
      <c r="J174" s="40" t="inlineStr"/>
    </row>
    <row r="175" ht="22" customHeight="1">
      <c r="A175" s="43" t="n">
        <v>46194</v>
      </c>
      <c r="B175" s="44" t="inlineStr">
        <is>
          <t>Sunday</t>
        </is>
      </c>
      <c r="C175" s="41" t="n">
        <v>0</v>
      </c>
      <c r="D175" s="41" t="n">
        <v>0</v>
      </c>
      <c r="E175" s="41" t="n">
        <v>0</v>
      </c>
      <c r="F175" s="41" t="n">
        <v>0</v>
      </c>
      <c r="G175" s="41" t="n">
        <v>0</v>
      </c>
      <c r="H175" s="44">
        <f>COUNTIF(C175:G175,1)</f>
        <v/>
      </c>
      <c r="I175" s="45">
        <f>H175/5</f>
        <v/>
      </c>
      <c r="J175" s="44" t="inlineStr"/>
    </row>
    <row r="176" ht="22" customHeight="1">
      <c r="A176" s="39" t="n">
        <v>46195</v>
      </c>
      <c r="B176" s="40" t="inlineStr">
        <is>
          <t>Monday</t>
        </is>
      </c>
      <c r="C176" s="41" t="n">
        <v>0</v>
      </c>
      <c r="D176" s="41" t="n">
        <v>0</v>
      </c>
      <c r="E176" s="41" t="n">
        <v>0</v>
      </c>
      <c r="F176" s="41" t="n">
        <v>0</v>
      </c>
      <c r="G176" s="41" t="n">
        <v>0</v>
      </c>
      <c r="H176" s="40">
        <f>COUNTIF(C176:G176,1)</f>
        <v/>
      </c>
      <c r="I176" s="42">
        <f>H176/5</f>
        <v/>
      </c>
      <c r="J176" s="40" t="inlineStr"/>
    </row>
    <row r="177" ht="22" customHeight="1">
      <c r="A177" s="43" t="n">
        <v>46196</v>
      </c>
      <c r="B177" s="44" t="inlineStr">
        <is>
          <t>Tuesday</t>
        </is>
      </c>
      <c r="C177" s="41" t="n">
        <v>0</v>
      </c>
      <c r="D177" s="41" t="n">
        <v>0</v>
      </c>
      <c r="E177" s="41" t="n">
        <v>0</v>
      </c>
      <c r="F177" s="41" t="n">
        <v>0</v>
      </c>
      <c r="G177" s="41" t="n">
        <v>0</v>
      </c>
      <c r="H177" s="44">
        <f>COUNTIF(C177:G177,1)</f>
        <v/>
      </c>
      <c r="I177" s="45">
        <f>H177/5</f>
        <v/>
      </c>
      <c r="J177" s="44" t="inlineStr"/>
    </row>
    <row r="178" ht="22" customHeight="1">
      <c r="A178" s="39" t="n">
        <v>46197</v>
      </c>
      <c r="B178" s="40" t="inlineStr">
        <is>
          <t>Wednesday</t>
        </is>
      </c>
      <c r="C178" s="41" t="n">
        <v>0</v>
      </c>
      <c r="D178" s="41" t="n">
        <v>0</v>
      </c>
      <c r="E178" s="41" t="n">
        <v>0</v>
      </c>
      <c r="F178" s="41" t="n">
        <v>0</v>
      </c>
      <c r="G178" s="41" t="n">
        <v>0</v>
      </c>
      <c r="H178" s="40">
        <f>COUNTIF(C178:G178,1)</f>
        <v/>
      </c>
      <c r="I178" s="42">
        <f>H178/5</f>
        <v/>
      </c>
      <c r="J178" s="40" t="inlineStr"/>
    </row>
    <row r="179" ht="22" customHeight="1">
      <c r="A179" s="43" t="n">
        <v>46198</v>
      </c>
      <c r="B179" s="44" t="inlineStr">
        <is>
          <t>Thursday</t>
        </is>
      </c>
      <c r="C179" s="41" t="n">
        <v>0</v>
      </c>
      <c r="D179" s="41" t="n">
        <v>0</v>
      </c>
      <c r="E179" s="41" t="n">
        <v>0</v>
      </c>
      <c r="F179" s="41" t="n">
        <v>0</v>
      </c>
      <c r="G179" s="41" t="n">
        <v>0</v>
      </c>
      <c r="H179" s="44">
        <f>COUNTIF(C179:G179,1)</f>
        <v/>
      </c>
      <c r="I179" s="45">
        <f>H179/5</f>
        <v/>
      </c>
      <c r="J179" s="44" t="inlineStr"/>
    </row>
    <row r="180" ht="22" customHeight="1">
      <c r="A180" s="39" t="n">
        <v>46199</v>
      </c>
      <c r="B180" s="40" t="inlineStr">
        <is>
          <t>Friday</t>
        </is>
      </c>
      <c r="C180" s="41" t="n">
        <v>0</v>
      </c>
      <c r="D180" s="41" t="n">
        <v>0</v>
      </c>
      <c r="E180" s="41" t="n">
        <v>0</v>
      </c>
      <c r="F180" s="41" t="n">
        <v>0</v>
      </c>
      <c r="G180" s="41" t="n">
        <v>0</v>
      </c>
      <c r="H180" s="40">
        <f>COUNTIF(C180:G180,1)</f>
        <v/>
      </c>
      <c r="I180" s="42">
        <f>H180/5</f>
        <v/>
      </c>
      <c r="J180" s="40" t="inlineStr"/>
    </row>
    <row r="181" ht="22" customHeight="1">
      <c r="A181" s="43" t="n">
        <v>46200</v>
      </c>
      <c r="B181" s="44" t="inlineStr">
        <is>
          <t>Saturday</t>
        </is>
      </c>
      <c r="C181" s="41" t="n">
        <v>0</v>
      </c>
      <c r="D181" s="41" t="n">
        <v>0</v>
      </c>
      <c r="E181" s="41" t="n">
        <v>0</v>
      </c>
      <c r="F181" s="41" t="n">
        <v>0</v>
      </c>
      <c r="G181" s="41" t="n">
        <v>0</v>
      </c>
      <c r="H181" s="44">
        <f>COUNTIF(C181:G181,1)</f>
        <v/>
      </c>
      <c r="I181" s="45">
        <f>H181/5</f>
        <v/>
      </c>
      <c r="J181" s="44" t="inlineStr"/>
    </row>
    <row r="182" ht="22" customHeight="1">
      <c r="A182" s="39" t="n">
        <v>46201</v>
      </c>
      <c r="B182" s="40" t="inlineStr">
        <is>
          <t>Sunday</t>
        </is>
      </c>
      <c r="C182" s="41" t="n">
        <v>0</v>
      </c>
      <c r="D182" s="41" t="n">
        <v>0</v>
      </c>
      <c r="E182" s="41" t="n">
        <v>0</v>
      </c>
      <c r="F182" s="41" t="n">
        <v>0</v>
      </c>
      <c r="G182" s="41" t="n">
        <v>0</v>
      </c>
      <c r="H182" s="40">
        <f>COUNTIF(C182:G182,1)</f>
        <v/>
      </c>
      <c r="I182" s="42">
        <f>H182/5</f>
        <v/>
      </c>
      <c r="J182" s="40" t="inlineStr"/>
    </row>
    <row r="183" ht="22" customHeight="1">
      <c r="A183" s="43" t="n">
        <v>46202</v>
      </c>
      <c r="B183" s="44" t="inlineStr">
        <is>
          <t>Monday</t>
        </is>
      </c>
      <c r="C183" s="41" t="n">
        <v>0</v>
      </c>
      <c r="D183" s="41" t="n">
        <v>0</v>
      </c>
      <c r="E183" s="41" t="n">
        <v>0</v>
      </c>
      <c r="F183" s="41" t="n">
        <v>0</v>
      </c>
      <c r="G183" s="41" t="n">
        <v>0</v>
      </c>
      <c r="H183" s="44">
        <f>COUNTIF(C183:G183,1)</f>
        <v/>
      </c>
      <c r="I183" s="45">
        <f>H183/5</f>
        <v/>
      </c>
      <c r="J183" s="44" t="inlineStr"/>
    </row>
    <row r="184" ht="22" customHeight="1">
      <c r="A184" s="39" t="n">
        <v>46203</v>
      </c>
      <c r="B184" s="40" t="inlineStr">
        <is>
          <t>Tuesday</t>
        </is>
      </c>
      <c r="C184" s="41" t="n">
        <v>0</v>
      </c>
      <c r="D184" s="41" t="n">
        <v>0</v>
      </c>
      <c r="E184" s="41" t="n">
        <v>0</v>
      </c>
      <c r="F184" s="41" t="n">
        <v>0</v>
      </c>
      <c r="G184" s="41" t="n">
        <v>0</v>
      </c>
      <c r="H184" s="40">
        <f>COUNTIF(C184:G184,1)</f>
        <v/>
      </c>
      <c r="I184" s="42">
        <f>H184/5</f>
        <v/>
      </c>
      <c r="J184" s="40" t="inlineStr"/>
    </row>
    <row r="185" ht="22" customHeight="1">
      <c r="A185" s="43" t="n">
        <v>46204</v>
      </c>
      <c r="B185" s="44" t="inlineStr">
        <is>
          <t>Wednesday</t>
        </is>
      </c>
      <c r="C185" s="41" t="n">
        <v>0</v>
      </c>
      <c r="D185" s="41" t="n">
        <v>0</v>
      </c>
      <c r="E185" s="41" t="n">
        <v>0</v>
      </c>
      <c r="F185" s="41" t="n">
        <v>0</v>
      </c>
      <c r="G185" s="41" t="n">
        <v>0</v>
      </c>
      <c r="H185" s="44">
        <f>COUNTIF(C185:G185,1)</f>
        <v/>
      </c>
      <c r="I185" s="45">
        <f>H185/5</f>
        <v/>
      </c>
      <c r="J185" s="44" t="inlineStr"/>
    </row>
    <row r="186" ht="22" customHeight="1">
      <c r="A186" s="39" t="n">
        <v>46205</v>
      </c>
      <c r="B186" s="40" t="inlineStr">
        <is>
          <t>Thursday</t>
        </is>
      </c>
      <c r="C186" s="41" t="n">
        <v>0</v>
      </c>
      <c r="D186" s="41" t="n">
        <v>0</v>
      </c>
      <c r="E186" s="41" t="n">
        <v>0</v>
      </c>
      <c r="F186" s="41" t="n">
        <v>0</v>
      </c>
      <c r="G186" s="41" t="n">
        <v>0</v>
      </c>
      <c r="H186" s="40">
        <f>COUNTIF(C186:G186,1)</f>
        <v/>
      </c>
      <c r="I186" s="42">
        <f>H186/5</f>
        <v/>
      </c>
      <c r="J186" s="40" t="inlineStr"/>
    </row>
    <row r="187" ht="22" customHeight="1">
      <c r="A187" s="43" t="n">
        <v>46206</v>
      </c>
      <c r="B187" s="44" t="inlineStr">
        <is>
          <t>Friday</t>
        </is>
      </c>
      <c r="C187" s="41" t="n">
        <v>0</v>
      </c>
      <c r="D187" s="41" t="n">
        <v>0</v>
      </c>
      <c r="E187" s="41" t="n">
        <v>0</v>
      </c>
      <c r="F187" s="41" t="n">
        <v>0</v>
      </c>
      <c r="G187" s="41" t="n">
        <v>0</v>
      </c>
      <c r="H187" s="44">
        <f>COUNTIF(C187:G187,1)</f>
        <v/>
      </c>
      <c r="I187" s="45">
        <f>H187/5</f>
        <v/>
      </c>
      <c r="J187" s="44" t="inlineStr"/>
    </row>
    <row r="188" ht="22" customHeight="1">
      <c r="A188" s="39" t="n">
        <v>46207</v>
      </c>
      <c r="B188" s="40" t="inlineStr">
        <is>
          <t>Saturday</t>
        </is>
      </c>
      <c r="C188" s="41" t="n">
        <v>0</v>
      </c>
      <c r="D188" s="41" t="n">
        <v>0</v>
      </c>
      <c r="E188" s="41" t="n">
        <v>0</v>
      </c>
      <c r="F188" s="41" t="n">
        <v>0</v>
      </c>
      <c r="G188" s="41" t="n">
        <v>0</v>
      </c>
      <c r="H188" s="40">
        <f>COUNTIF(C188:G188,1)</f>
        <v/>
      </c>
      <c r="I188" s="42">
        <f>H188/5</f>
        <v/>
      </c>
      <c r="J188" s="40" t="inlineStr"/>
    </row>
    <row r="189" ht="22" customHeight="1">
      <c r="A189" s="43" t="n">
        <v>46208</v>
      </c>
      <c r="B189" s="44" t="inlineStr">
        <is>
          <t>Sunday</t>
        </is>
      </c>
      <c r="C189" s="41" t="n">
        <v>0</v>
      </c>
      <c r="D189" s="41" t="n">
        <v>0</v>
      </c>
      <c r="E189" s="41" t="n">
        <v>0</v>
      </c>
      <c r="F189" s="41" t="n">
        <v>0</v>
      </c>
      <c r="G189" s="41" t="n">
        <v>0</v>
      </c>
      <c r="H189" s="44">
        <f>COUNTIF(C189:G189,1)</f>
        <v/>
      </c>
      <c r="I189" s="45">
        <f>H189/5</f>
        <v/>
      </c>
      <c r="J189" s="44" t="inlineStr"/>
    </row>
    <row r="190" ht="22" customHeight="1">
      <c r="A190" s="39" t="n">
        <v>46209</v>
      </c>
      <c r="B190" s="40" t="inlineStr">
        <is>
          <t>Monday</t>
        </is>
      </c>
      <c r="C190" s="41" t="n">
        <v>0</v>
      </c>
      <c r="D190" s="41" t="n">
        <v>0</v>
      </c>
      <c r="E190" s="41" t="n">
        <v>0</v>
      </c>
      <c r="F190" s="41" t="n">
        <v>0</v>
      </c>
      <c r="G190" s="41" t="n">
        <v>0</v>
      </c>
      <c r="H190" s="40">
        <f>COUNTIF(C190:G190,1)</f>
        <v/>
      </c>
      <c r="I190" s="42">
        <f>H190/5</f>
        <v/>
      </c>
      <c r="J190" s="40" t="inlineStr"/>
    </row>
    <row r="191" ht="22" customHeight="1">
      <c r="A191" s="43" t="n">
        <v>46210</v>
      </c>
      <c r="B191" s="44" t="inlineStr">
        <is>
          <t>Tuesday</t>
        </is>
      </c>
      <c r="C191" s="41" t="n">
        <v>0</v>
      </c>
      <c r="D191" s="41" t="n">
        <v>0</v>
      </c>
      <c r="E191" s="41" t="n">
        <v>0</v>
      </c>
      <c r="F191" s="41" t="n">
        <v>0</v>
      </c>
      <c r="G191" s="41" t="n">
        <v>0</v>
      </c>
      <c r="H191" s="44">
        <f>COUNTIF(C191:G191,1)</f>
        <v/>
      </c>
      <c r="I191" s="45">
        <f>H191/5</f>
        <v/>
      </c>
      <c r="J191" s="44" t="inlineStr"/>
    </row>
    <row r="192" ht="22" customHeight="1">
      <c r="A192" s="39" t="n">
        <v>46211</v>
      </c>
      <c r="B192" s="40" t="inlineStr">
        <is>
          <t>Wednesday</t>
        </is>
      </c>
      <c r="C192" s="41" t="n">
        <v>0</v>
      </c>
      <c r="D192" s="41" t="n">
        <v>0</v>
      </c>
      <c r="E192" s="41" t="n">
        <v>0</v>
      </c>
      <c r="F192" s="41" t="n">
        <v>0</v>
      </c>
      <c r="G192" s="41" t="n">
        <v>0</v>
      </c>
      <c r="H192" s="40">
        <f>COUNTIF(C192:G192,1)</f>
        <v/>
      </c>
      <c r="I192" s="42">
        <f>H192/5</f>
        <v/>
      </c>
      <c r="J192" s="40" t="inlineStr"/>
    </row>
    <row r="193" ht="22" customHeight="1">
      <c r="A193" s="43" t="n">
        <v>46212</v>
      </c>
      <c r="B193" s="44" t="inlineStr">
        <is>
          <t>Thursday</t>
        </is>
      </c>
      <c r="C193" s="41" t="n">
        <v>0</v>
      </c>
      <c r="D193" s="41" t="n">
        <v>0</v>
      </c>
      <c r="E193" s="41" t="n">
        <v>0</v>
      </c>
      <c r="F193" s="41" t="n">
        <v>0</v>
      </c>
      <c r="G193" s="41" t="n">
        <v>0</v>
      </c>
      <c r="H193" s="44">
        <f>COUNTIF(C193:G193,1)</f>
        <v/>
      </c>
      <c r="I193" s="45">
        <f>H193/5</f>
        <v/>
      </c>
      <c r="J193" s="44" t="inlineStr"/>
    </row>
    <row r="194" ht="22" customHeight="1">
      <c r="A194" s="39" t="n">
        <v>46213</v>
      </c>
      <c r="B194" s="40" t="inlineStr">
        <is>
          <t>Friday</t>
        </is>
      </c>
      <c r="C194" s="41" t="n">
        <v>0</v>
      </c>
      <c r="D194" s="41" t="n">
        <v>0</v>
      </c>
      <c r="E194" s="41" t="n">
        <v>0</v>
      </c>
      <c r="F194" s="41" t="n">
        <v>0</v>
      </c>
      <c r="G194" s="41" t="n">
        <v>0</v>
      </c>
      <c r="H194" s="40">
        <f>COUNTIF(C194:G194,1)</f>
        <v/>
      </c>
      <c r="I194" s="42">
        <f>H194/5</f>
        <v/>
      </c>
      <c r="J194" s="40" t="inlineStr"/>
    </row>
    <row r="195" ht="22" customHeight="1">
      <c r="A195" s="43" t="n">
        <v>46214</v>
      </c>
      <c r="B195" s="44" t="inlineStr">
        <is>
          <t>Saturday</t>
        </is>
      </c>
      <c r="C195" s="41" t="n">
        <v>0</v>
      </c>
      <c r="D195" s="41" t="n">
        <v>0</v>
      </c>
      <c r="E195" s="41" t="n">
        <v>0</v>
      </c>
      <c r="F195" s="41" t="n">
        <v>0</v>
      </c>
      <c r="G195" s="41" t="n">
        <v>0</v>
      </c>
      <c r="H195" s="44">
        <f>COUNTIF(C195:G195,1)</f>
        <v/>
      </c>
      <c r="I195" s="45">
        <f>H195/5</f>
        <v/>
      </c>
      <c r="J195" s="44" t="inlineStr"/>
    </row>
    <row r="196" ht="22" customHeight="1">
      <c r="A196" s="39" t="n">
        <v>46215</v>
      </c>
      <c r="B196" s="40" t="inlineStr">
        <is>
          <t>Sunday</t>
        </is>
      </c>
      <c r="C196" s="41" t="n">
        <v>0</v>
      </c>
      <c r="D196" s="41" t="n">
        <v>0</v>
      </c>
      <c r="E196" s="41" t="n">
        <v>0</v>
      </c>
      <c r="F196" s="41" t="n">
        <v>0</v>
      </c>
      <c r="G196" s="41" t="n">
        <v>0</v>
      </c>
      <c r="H196" s="40">
        <f>COUNTIF(C196:G196,1)</f>
        <v/>
      </c>
      <c r="I196" s="42">
        <f>H196/5</f>
        <v/>
      </c>
      <c r="J196" s="40" t="inlineStr"/>
    </row>
    <row r="197" ht="22" customHeight="1">
      <c r="A197" s="43" t="n">
        <v>46216</v>
      </c>
      <c r="B197" s="44" t="inlineStr">
        <is>
          <t>Monday</t>
        </is>
      </c>
      <c r="C197" s="41" t="n">
        <v>0</v>
      </c>
      <c r="D197" s="41" t="n">
        <v>0</v>
      </c>
      <c r="E197" s="41" t="n">
        <v>0</v>
      </c>
      <c r="F197" s="41" t="n">
        <v>0</v>
      </c>
      <c r="G197" s="41" t="n">
        <v>0</v>
      </c>
      <c r="H197" s="44">
        <f>COUNTIF(C197:G197,1)</f>
        <v/>
      </c>
      <c r="I197" s="45">
        <f>H197/5</f>
        <v/>
      </c>
      <c r="J197" s="44" t="inlineStr"/>
    </row>
    <row r="198" ht="22" customHeight="1">
      <c r="A198" s="39" t="n">
        <v>46217</v>
      </c>
      <c r="B198" s="40" t="inlineStr">
        <is>
          <t>Tuesday</t>
        </is>
      </c>
      <c r="C198" s="41" t="n">
        <v>0</v>
      </c>
      <c r="D198" s="41" t="n">
        <v>0</v>
      </c>
      <c r="E198" s="41" t="n">
        <v>0</v>
      </c>
      <c r="F198" s="41" t="n">
        <v>0</v>
      </c>
      <c r="G198" s="41" t="n">
        <v>0</v>
      </c>
      <c r="H198" s="40">
        <f>COUNTIF(C198:G198,1)</f>
        <v/>
      </c>
      <c r="I198" s="42">
        <f>H198/5</f>
        <v/>
      </c>
      <c r="J198" s="40" t="inlineStr"/>
    </row>
    <row r="199" ht="22" customHeight="1">
      <c r="A199" s="43" t="n">
        <v>46218</v>
      </c>
      <c r="B199" s="44" t="inlineStr">
        <is>
          <t>Wednesday</t>
        </is>
      </c>
      <c r="C199" s="41" t="n">
        <v>0</v>
      </c>
      <c r="D199" s="41" t="n">
        <v>0</v>
      </c>
      <c r="E199" s="41" t="n">
        <v>0</v>
      </c>
      <c r="F199" s="41" t="n">
        <v>0</v>
      </c>
      <c r="G199" s="41" t="n">
        <v>0</v>
      </c>
      <c r="H199" s="44">
        <f>COUNTIF(C199:G199,1)</f>
        <v/>
      </c>
      <c r="I199" s="45">
        <f>H199/5</f>
        <v/>
      </c>
      <c r="J199" s="44" t="inlineStr"/>
    </row>
    <row r="200" ht="22" customHeight="1">
      <c r="A200" s="39" t="n">
        <v>46219</v>
      </c>
      <c r="B200" s="40" t="inlineStr">
        <is>
          <t>Thursday</t>
        </is>
      </c>
      <c r="C200" s="41" t="n">
        <v>0</v>
      </c>
      <c r="D200" s="41" t="n">
        <v>0</v>
      </c>
      <c r="E200" s="41" t="n">
        <v>0</v>
      </c>
      <c r="F200" s="41" t="n">
        <v>0</v>
      </c>
      <c r="G200" s="41" t="n">
        <v>0</v>
      </c>
      <c r="H200" s="40">
        <f>COUNTIF(C200:G200,1)</f>
        <v/>
      </c>
      <c r="I200" s="42">
        <f>H200/5</f>
        <v/>
      </c>
      <c r="J200" s="40" t="inlineStr"/>
    </row>
    <row r="201" ht="22" customHeight="1">
      <c r="A201" s="43" t="n">
        <v>46220</v>
      </c>
      <c r="B201" s="44" t="inlineStr">
        <is>
          <t>Friday</t>
        </is>
      </c>
      <c r="C201" s="41" t="n">
        <v>0</v>
      </c>
      <c r="D201" s="41" t="n">
        <v>0</v>
      </c>
      <c r="E201" s="41" t="n">
        <v>0</v>
      </c>
      <c r="F201" s="41" t="n">
        <v>0</v>
      </c>
      <c r="G201" s="41" t="n">
        <v>0</v>
      </c>
      <c r="H201" s="44">
        <f>COUNTIF(C201:G201,1)</f>
        <v/>
      </c>
      <c r="I201" s="45">
        <f>H201/5</f>
        <v/>
      </c>
      <c r="J201" s="44" t="inlineStr"/>
    </row>
    <row r="202" ht="22" customHeight="1">
      <c r="A202" s="39" t="n">
        <v>46221</v>
      </c>
      <c r="B202" s="40" t="inlineStr">
        <is>
          <t>Saturday</t>
        </is>
      </c>
      <c r="C202" s="41" t="n">
        <v>0</v>
      </c>
      <c r="D202" s="41" t="n">
        <v>0</v>
      </c>
      <c r="E202" s="41" t="n">
        <v>0</v>
      </c>
      <c r="F202" s="41" t="n">
        <v>0</v>
      </c>
      <c r="G202" s="41" t="n">
        <v>0</v>
      </c>
      <c r="H202" s="40">
        <f>COUNTIF(C202:G202,1)</f>
        <v/>
      </c>
      <c r="I202" s="42">
        <f>H202/5</f>
        <v/>
      </c>
      <c r="J202" s="40" t="inlineStr"/>
    </row>
    <row r="203" ht="22" customHeight="1">
      <c r="A203" s="43" t="n">
        <v>46222</v>
      </c>
      <c r="B203" s="44" t="inlineStr">
        <is>
          <t>Sunday</t>
        </is>
      </c>
      <c r="C203" s="41" t="n">
        <v>0</v>
      </c>
      <c r="D203" s="41" t="n">
        <v>0</v>
      </c>
      <c r="E203" s="41" t="n">
        <v>0</v>
      </c>
      <c r="F203" s="41" t="n">
        <v>0</v>
      </c>
      <c r="G203" s="41" t="n">
        <v>0</v>
      </c>
      <c r="H203" s="44">
        <f>COUNTIF(C203:G203,1)</f>
        <v/>
      </c>
      <c r="I203" s="45">
        <f>H203/5</f>
        <v/>
      </c>
      <c r="J203" s="44" t="inlineStr"/>
    </row>
    <row r="204" ht="22" customHeight="1">
      <c r="A204" s="39" t="n">
        <v>46223</v>
      </c>
      <c r="B204" s="40" t="inlineStr">
        <is>
          <t>Monday</t>
        </is>
      </c>
      <c r="C204" s="41" t="n">
        <v>0</v>
      </c>
      <c r="D204" s="41" t="n">
        <v>0</v>
      </c>
      <c r="E204" s="41" t="n">
        <v>0</v>
      </c>
      <c r="F204" s="41" t="n">
        <v>0</v>
      </c>
      <c r="G204" s="41" t="n">
        <v>0</v>
      </c>
      <c r="H204" s="40">
        <f>COUNTIF(C204:G204,1)</f>
        <v/>
      </c>
      <c r="I204" s="42">
        <f>H204/5</f>
        <v/>
      </c>
      <c r="J204" s="40" t="inlineStr"/>
    </row>
    <row r="205" ht="22" customHeight="1">
      <c r="A205" s="43" t="n">
        <v>46224</v>
      </c>
      <c r="B205" s="44" t="inlineStr">
        <is>
          <t>Tuesday</t>
        </is>
      </c>
      <c r="C205" s="41" t="n">
        <v>0</v>
      </c>
      <c r="D205" s="41" t="n">
        <v>0</v>
      </c>
      <c r="E205" s="41" t="n">
        <v>0</v>
      </c>
      <c r="F205" s="41" t="n">
        <v>0</v>
      </c>
      <c r="G205" s="41" t="n">
        <v>0</v>
      </c>
      <c r="H205" s="44">
        <f>COUNTIF(C205:G205,1)</f>
        <v/>
      </c>
      <c r="I205" s="45">
        <f>H205/5</f>
        <v/>
      </c>
      <c r="J205" s="44" t="inlineStr"/>
    </row>
    <row r="206" ht="22" customHeight="1">
      <c r="A206" s="39" t="n">
        <v>46225</v>
      </c>
      <c r="B206" s="40" t="inlineStr">
        <is>
          <t>Wednesday</t>
        </is>
      </c>
      <c r="C206" s="41" t="n">
        <v>0</v>
      </c>
      <c r="D206" s="41" t="n">
        <v>0</v>
      </c>
      <c r="E206" s="41" t="n">
        <v>0</v>
      </c>
      <c r="F206" s="41" t="n">
        <v>0</v>
      </c>
      <c r="G206" s="41" t="n">
        <v>0</v>
      </c>
      <c r="H206" s="40">
        <f>COUNTIF(C206:G206,1)</f>
        <v/>
      </c>
      <c r="I206" s="42">
        <f>H206/5</f>
        <v/>
      </c>
      <c r="J206" s="40" t="inlineStr"/>
    </row>
    <row r="207" ht="22" customHeight="1">
      <c r="A207" s="43" t="n">
        <v>46226</v>
      </c>
      <c r="B207" s="44" t="inlineStr">
        <is>
          <t>Thursday</t>
        </is>
      </c>
      <c r="C207" s="41" t="n">
        <v>0</v>
      </c>
      <c r="D207" s="41" t="n">
        <v>0</v>
      </c>
      <c r="E207" s="41" t="n">
        <v>0</v>
      </c>
      <c r="F207" s="41" t="n">
        <v>0</v>
      </c>
      <c r="G207" s="41" t="n">
        <v>0</v>
      </c>
      <c r="H207" s="44">
        <f>COUNTIF(C207:G207,1)</f>
        <v/>
      </c>
      <c r="I207" s="45">
        <f>H207/5</f>
        <v/>
      </c>
      <c r="J207" s="44" t="inlineStr"/>
    </row>
    <row r="208" ht="22" customHeight="1">
      <c r="A208" s="39" t="n">
        <v>46227</v>
      </c>
      <c r="B208" s="40" t="inlineStr">
        <is>
          <t>Friday</t>
        </is>
      </c>
      <c r="C208" s="41" t="n">
        <v>0</v>
      </c>
      <c r="D208" s="41" t="n">
        <v>0</v>
      </c>
      <c r="E208" s="41" t="n">
        <v>0</v>
      </c>
      <c r="F208" s="41" t="n">
        <v>0</v>
      </c>
      <c r="G208" s="41" t="n">
        <v>0</v>
      </c>
      <c r="H208" s="40">
        <f>COUNTIF(C208:G208,1)</f>
        <v/>
      </c>
      <c r="I208" s="42">
        <f>H208/5</f>
        <v/>
      </c>
      <c r="J208" s="40" t="inlineStr"/>
    </row>
    <row r="209" ht="22" customHeight="1">
      <c r="A209" s="43" t="n">
        <v>46228</v>
      </c>
      <c r="B209" s="44" t="inlineStr">
        <is>
          <t>Saturday</t>
        </is>
      </c>
      <c r="C209" s="41" t="n">
        <v>0</v>
      </c>
      <c r="D209" s="41" t="n">
        <v>0</v>
      </c>
      <c r="E209" s="41" t="n">
        <v>0</v>
      </c>
      <c r="F209" s="41" t="n">
        <v>0</v>
      </c>
      <c r="G209" s="41" t="n">
        <v>0</v>
      </c>
      <c r="H209" s="44">
        <f>COUNTIF(C209:G209,1)</f>
        <v/>
      </c>
      <c r="I209" s="45">
        <f>H209/5</f>
        <v/>
      </c>
      <c r="J209" s="44" t="inlineStr"/>
    </row>
    <row r="210" ht="22" customHeight="1">
      <c r="A210" s="39" t="n">
        <v>46229</v>
      </c>
      <c r="B210" s="40" t="inlineStr">
        <is>
          <t>Sunday</t>
        </is>
      </c>
      <c r="C210" s="41" t="n">
        <v>0</v>
      </c>
      <c r="D210" s="41" t="n">
        <v>0</v>
      </c>
      <c r="E210" s="41" t="n">
        <v>0</v>
      </c>
      <c r="F210" s="41" t="n">
        <v>0</v>
      </c>
      <c r="G210" s="41" t="n">
        <v>0</v>
      </c>
      <c r="H210" s="40">
        <f>COUNTIF(C210:G210,1)</f>
        <v/>
      </c>
      <c r="I210" s="42">
        <f>H210/5</f>
        <v/>
      </c>
      <c r="J210" s="40" t="inlineStr"/>
    </row>
    <row r="211" ht="22" customHeight="1">
      <c r="A211" s="43" t="n">
        <v>46230</v>
      </c>
      <c r="B211" s="44" t="inlineStr">
        <is>
          <t>Monday</t>
        </is>
      </c>
      <c r="C211" s="41" t="n">
        <v>0</v>
      </c>
      <c r="D211" s="41" t="n">
        <v>0</v>
      </c>
      <c r="E211" s="41" t="n">
        <v>0</v>
      </c>
      <c r="F211" s="41" t="n">
        <v>0</v>
      </c>
      <c r="G211" s="41" t="n">
        <v>0</v>
      </c>
      <c r="H211" s="44">
        <f>COUNTIF(C211:G211,1)</f>
        <v/>
      </c>
      <c r="I211" s="45">
        <f>H211/5</f>
        <v/>
      </c>
      <c r="J211" s="44" t="inlineStr"/>
    </row>
    <row r="212" ht="22" customHeight="1">
      <c r="A212" s="39" t="n">
        <v>46231</v>
      </c>
      <c r="B212" s="40" t="inlineStr">
        <is>
          <t>Tuesday</t>
        </is>
      </c>
      <c r="C212" s="41" t="n">
        <v>0</v>
      </c>
      <c r="D212" s="41" t="n">
        <v>0</v>
      </c>
      <c r="E212" s="41" t="n">
        <v>0</v>
      </c>
      <c r="F212" s="41" t="n">
        <v>0</v>
      </c>
      <c r="G212" s="41" t="n">
        <v>0</v>
      </c>
      <c r="H212" s="40">
        <f>COUNTIF(C212:G212,1)</f>
        <v/>
      </c>
      <c r="I212" s="42">
        <f>H212/5</f>
        <v/>
      </c>
      <c r="J212" s="40" t="inlineStr"/>
    </row>
    <row r="213" ht="22" customHeight="1">
      <c r="A213" s="43" t="n">
        <v>46232</v>
      </c>
      <c r="B213" s="44" t="inlineStr">
        <is>
          <t>Wednesday</t>
        </is>
      </c>
      <c r="C213" s="41" t="n">
        <v>0</v>
      </c>
      <c r="D213" s="41" t="n">
        <v>0</v>
      </c>
      <c r="E213" s="41" t="n">
        <v>0</v>
      </c>
      <c r="F213" s="41" t="n">
        <v>0</v>
      </c>
      <c r="G213" s="41" t="n">
        <v>0</v>
      </c>
      <c r="H213" s="44">
        <f>COUNTIF(C213:G213,1)</f>
        <v/>
      </c>
      <c r="I213" s="45">
        <f>H213/5</f>
        <v/>
      </c>
      <c r="J213" s="44" t="inlineStr"/>
    </row>
    <row r="214" ht="22" customHeight="1">
      <c r="A214" s="39" t="n">
        <v>46233</v>
      </c>
      <c r="B214" s="40" t="inlineStr">
        <is>
          <t>Thursday</t>
        </is>
      </c>
      <c r="C214" s="41" t="n">
        <v>0</v>
      </c>
      <c r="D214" s="41" t="n">
        <v>0</v>
      </c>
      <c r="E214" s="41" t="n">
        <v>0</v>
      </c>
      <c r="F214" s="41" t="n">
        <v>0</v>
      </c>
      <c r="G214" s="41" t="n">
        <v>0</v>
      </c>
      <c r="H214" s="40">
        <f>COUNTIF(C214:G214,1)</f>
        <v/>
      </c>
      <c r="I214" s="42">
        <f>H214/5</f>
        <v/>
      </c>
      <c r="J214" s="40" t="inlineStr"/>
    </row>
    <row r="215" ht="22" customHeight="1">
      <c r="A215" s="43" t="n">
        <v>46234</v>
      </c>
      <c r="B215" s="44" t="inlineStr">
        <is>
          <t>Friday</t>
        </is>
      </c>
      <c r="C215" s="41" t="n">
        <v>0</v>
      </c>
      <c r="D215" s="41" t="n">
        <v>0</v>
      </c>
      <c r="E215" s="41" t="n">
        <v>0</v>
      </c>
      <c r="F215" s="41" t="n">
        <v>0</v>
      </c>
      <c r="G215" s="41" t="n">
        <v>0</v>
      </c>
      <c r="H215" s="44">
        <f>COUNTIF(C215:G215,1)</f>
        <v/>
      </c>
      <c r="I215" s="45">
        <f>H215/5</f>
        <v/>
      </c>
      <c r="J215" s="44" t="inlineStr"/>
    </row>
    <row r="216" ht="22" customHeight="1">
      <c r="A216" s="39" t="n">
        <v>46235</v>
      </c>
      <c r="B216" s="40" t="inlineStr">
        <is>
          <t>Saturday</t>
        </is>
      </c>
      <c r="C216" s="41" t="n">
        <v>0</v>
      </c>
      <c r="D216" s="41" t="n">
        <v>0</v>
      </c>
      <c r="E216" s="41" t="n">
        <v>0</v>
      </c>
      <c r="F216" s="41" t="n">
        <v>0</v>
      </c>
      <c r="G216" s="41" t="n">
        <v>0</v>
      </c>
      <c r="H216" s="40">
        <f>COUNTIF(C216:G216,1)</f>
        <v/>
      </c>
      <c r="I216" s="42">
        <f>H216/5</f>
        <v/>
      </c>
      <c r="J216" s="40" t="inlineStr"/>
    </row>
    <row r="217" ht="22" customHeight="1">
      <c r="A217" s="43" t="n">
        <v>46236</v>
      </c>
      <c r="B217" s="44" t="inlineStr">
        <is>
          <t>Sunday</t>
        </is>
      </c>
      <c r="C217" s="41" t="n">
        <v>0</v>
      </c>
      <c r="D217" s="41" t="n">
        <v>0</v>
      </c>
      <c r="E217" s="41" t="n">
        <v>0</v>
      </c>
      <c r="F217" s="41" t="n">
        <v>0</v>
      </c>
      <c r="G217" s="41" t="n">
        <v>0</v>
      </c>
      <c r="H217" s="44">
        <f>COUNTIF(C217:G217,1)</f>
        <v/>
      </c>
      <c r="I217" s="45">
        <f>H217/5</f>
        <v/>
      </c>
      <c r="J217" s="44" t="inlineStr"/>
    </row>
    <row r="218" ht="22" customHeight="1">
      <c r="A218" s="39" t="n">
        <v>46237</v>
      </c>
      <c r="B218" s="40" t="inlineStr">
        <is>
          <t>Monday</t>
        </is>
      </c>
      <c r="C218" s="41" t="n">
        <v>0</v>
      </c>
      <c r="D218" s="41" t="n">
        <v>0</v>
      </c>
      <c r="E218" s="41" t="n">
        <v>0</v>
      </c>
      <c r="F218" s="41" t="n">
        <v>0</v>
      </c>
      <c r="G218" s="41" t="n">
        <v>0</v>
      </c>
      <c r="H218" s="40">
        <f>COUNTIF(C218:G218,1)</f>
        <v/>
      </c>
      <c r="I218" s="42">
        <f>H218/5</f>
        <v/>
      </c>
      <c r="J218" s="40" t="inlineStr"/>
    </row>
    <row r="219" ht="22" customHeight="1">
      <c r="A219" s="43" t="n">
        <v>46238</v>
      </c>
      <c r="B219" s="44" t="inlineStr">
        <is>
          <t>Tuesday</t>
        </is>
      </c>
      <c r="C219" s="41" t="n">
        <v>0</v>
      </c>
      <c r="D219" s="41" t="n">
        <v>0</v>
      </c>
      <c r="E219" s="41" t="n">
        <v>0</v>
      </c>
      <c r="F219" s="41" t="n">
        <v>0</v>
      </c>
      <c r="G219" s="41" t="n">
        <v>0</v>
      </c>
      <c r="H219" s="44">
        <f>COUNTIF(C219:G219,1)</f>
        <v/>
      </c>
      <c r="I219" s="45">
        <f>H219/5</f>
        <v/>
      </c>
      <c r="J219" s="44" t="inlineStr"/>
    </row>
    <row r="220" ht="22" customHeight="1">
      <c r="A220" s="39" t="n">
        <v>46239</v>
      </c>
      <c r="B220" s="40" t="inlineStr">
        <is>
          <t>Wednesday</t>
        </is>
      </c>
      <c r="C220" s="41" t="n">
        <v>0</v>
      </c>
      <c r="D220" s="41" t="n">
        <v>0</v>
      </c>
      <c r="E220" s="41" t="n">
        <v>0</v>
      </c>
      <c r="F220" s="41" t="n">
        <v>0</v>
      </c>
      <c r="G220" s="41" t="n">
        <v>0</v>
      </c>
      <c r="H220" s="40">
        <f>COUNTIF(C220:G220,1)</f>
        <v/>
      </c>
      <c r="I220" s="42">
        <f>H220/5</f>
        <v/>
      </c>
      <c r="J220" s="40" t="inlineStr"/>
    </row>
    <row r="221" ht="22" customHeight="1">
      <c r="A221" s="43" t="n">
        <v>46240</v>
      </c>
      <c r="B221" s="44" t="inlineStr">
        <is>
          <t>Thursday</t>
        </is>
      </c>
      <c r="C221" s="41" t="n">
        <v>0</v>
      </c>
      <c r="D221" s="41" t="n">
        <v>0</v>
      </c>
      <c r="E221" s="41" t="n">
        <v>0</v>
      </c>
      <c r="F221" s="41" t="n">
        <v>0</v>
      </c>
      <c r="G221" s="41" t="n">
        <v>0</v>
      </c>
      <c r="H221" s="44">
        <f>COUNTIF(C221:G221,1)</f>
        <v/>
      </c>
      <c r="I221" s="45">
        <f>H221/5</f>
        <v/>
      </c>
      <c r="J221" s="44" t="inlineStr"/>
    </row>
    <row r="222" ht="22" customHeight="1">
      <c r="A222" s="39" t="n">
        <v>46241</v>
      </c>
      <c r="B222" s="40" t="inlineStr">
        <is>
          <t>Friday</t>
        </is>
      </c>
      <c r="C222" s="41" t="n">
        <v>0</v>
      </c>
      <c r="D222" s="41" t="n">
        <v>0</v>
      </c>
      <c r="E222" s="41" t="n">
        <v>0</v>
      </c>
      <c r="F222" s="41" t="n">
        <v>0</v>
      </c>
      <c r="G222" s="41" t="n">
        <v>0</v>
      </c>
      <c r="H222" s="40">
        <f>COUNTIF(C222:G222,1)</f>
        <v/>
      </c>
      <c r="I222" s="42">
        <f>H222/5</f>
        <v/>
      </c>
      <c r="J222" s="40" t="inlineStr"/>
    </row>
    <row r="223" ht="22" customHeight="1">
      <c r="A223" s="43" t="n">
        <v>46242</v>
      </c>
      <c r="B223" s="44" t="inlineStr">
        <is>
          <t>Saturday</t>
        </is>
      </c>
      <c r="C223" s="41" t="n">
        <v>0</v>
      </c>
      <c r="D223" s="41" t="n">
        <v>0</v>
      </c>
      <c r="E223" s="41" t="n">
        <v>0</v>
      </c>
      <c r="F223" s="41" t="n">
        <v>0</v>
      </c>
      <c r="G223" s="41" t="n">
        <v>0</v>
      </c>
      <c r="H223" s="44">
        <f>COUNTIF(C223:G223,1)</f>
        <v/>
      </c>
      <c r="I223" s="45">
        <f>H223/5</f>
        <v/>
      </c>
      <c r="J223" s="44" t="inlineStr"/>
    </row>
    <row r="224" ht="22" customHeight="1">
      <c r="A224" s="39" t="n">
        <v>46243</v>
      </c>
      <c r="B224" s="40" t="inlineStr">
        <is>
          <t>Sunday</t>
        </is>
      </c>
      <c r="C224" s="41" t="n">
        <v>0</v>
      </c>
      <c r="D224" s="41" t="n">
        <v>0</v>
      </c>
      <c r="E224" s="41" t="n">
        <v>0</v>
      </c>
      <c r="F224" s="41" t="n">
        <v>0</v>
      </c>
      <c r="G224" s="41" t="n">
        <v>0</v>
      </c>
      <c r="H224" s="40">
        <f>COUNTIF(C224:G224,1)</f>
        <v/>
      </c>
      <c r="I224" s="42">
        <f>H224/5</f>
        <v/>
      </c>
      <c r="J224" s="40" t="inlineStr"/>
    </row>
    <row r="225" ht="22" customHeight="1">
      <c r="A225" s="43" t="n">
        <v>46244</v>
      </c>
      <c r="B225" s="44" t="inlineStr">
        <is>
          <t>Monday</t>
        </is>
      </c>
      <c r="C225" s="41" t="n">
        <v>0</v>
      </c>
      <c r="D225" s="41" t="n">
        <v>0</v>
      </c>
      <c r="E225" s="41" t="n">
        <v>0</v>
      </c>
      <c r="F225" s="41" t="n">
        <v>0</v>
      </c>
      <c r="G225" s="41" t="n">
        <v>0</v>
      </c>
      <c r="H225" s="44">
        <f>COUNTIF(C225:G225,1)</f>
        <v/>
      </c>
      <c r="I225" s="45">
        <f>H225/5</f>
        <v/>
      </c>
      <c r="J225" s="44" t="inlineStr"/>
    </row>
    <row r="226" ht="22" customHeight="1">
      <c r="A226" s="39" t="n">
        <v>46245</v>
      </c>
      <c r="B226" s="40" t="inlineStr">
        <is>
          <t>Tuesday</t>
        </is>
      </c>
      <c r="C226" s="41" t="n">
        <v>0</v>
      </c>
      <c r="D226" s="41" t="n">
        <v>0</v>
      </c>
      <c r="E226" s="41" t="n">
        <v>0</v>
      </c>
      <c r="F226" s="41" t="n">
        <v>0</v>
      </c>
      <c r="G226" s="41" t="n">
        <v>0</v>
      </c>
      <c r="H226" s="40">
        <f>COUNTIF(C226:G226,1)</f>
        <v/>
      </c>
      <c r="I226" s="42">
        <f>H226/5</f>
        <v/>
      </c>
      <c r="J226" s="40" t="inlineStr"/>
    </row>
    <row r="227" ht="22" customHeight="1">
      <c r="A227" s="43" t="n">
        <v>46246</v>
      </c>
      <c r="B227" s="44" t="inlineStr">
        <is>
          <t>Wednesday</t>
        </is>
      </c>
      <c r="C227" s="41" t="n">
        <v>0</v>
      </c>
      <c r="D227" s="41" t="n">
        <v>0</v>
      </c>
      <c r="E227" s="41" t="n">
        <v>0</v>
      </c>
      <c r="F227" s="41" t="n">
        <v>0</v>
      </c>
      <c r="G227" s="41" t="n">
        <v>0</v>
      </c>
      <c r="H227" s="44">
        <f>COUNTIF(C227:G227,1)</f>
        <v/>
      </c>
      <c r="I227" s="45">
        <f>H227/5</f>
        <v/>
      </c>
      <c r="J227" s="44" t="inlineStr"/>
    </row>
    <row r="228" ht="22" customHeight="1">
      <c r="A228" s="39" t="n">
        <v>46247</v>
      </c>
      <c r="B228" s="40" t="inlineStr">
        <is>
          <t>Thursday</t>
        </is>
      </c>
      <c r="C228" s="41" t="n">
        <v>0</v>
      </c>
      <c r="D228" s="41" t="n">
        <v>0</v>
      </c>
      <c r="E228" s="41" t="n">
        <v>0</v>
      </c>
      <c r="F228" s="41" t="n">
        <v>0</v>
      </c>
      <c r="G228" s="41" t="n">
        <v>0</v>
      </c>
      <c r="H228" s="40">
        <f>COUNTIF(C228:G228,1)</f>
        <v/>
      </c>
      <c r="I228" s="42">
        <f>H228/5</f>
        <v/>
      </c>
      <c r="J228" s="40" t="inlineStr"/>
    </row>
    <row r="229" ht="22" customHeight="1">
      <c r="A229" s="43" t="n">
        <v>46248</v>
      </c>
      <c r="B229" s="44" t="inlineStr">
        <is>
          <t>Friday</t>
        </is>
      </c>
      <c r="C229" s="41" t="n">
        <v>0</v>
      </c>
      <c r="D229" s="41" t="n">
        <v>0</v>
      </c>
      <c r="E229" s="41" t="n">
        <v>0</v>
      </c>
      <c r="F229" s="41" t="n">
        <v>0</v>
      </c>
      <c r="G229" s="41" t="n">
        <v>0</v>
      </c>
      <c r="H229" s="44">
        <f>COUNTIF(C229:G229,1)</f>
        <v/>
      </c>
      <c r="I229" s="45">
        <f>H229/5</f>
        <v/>
      </c>
      <c r="J229" s="44" t="inlineStr"/>
    </row>
    <row r="230" ht="22" customHeight="1">
      <c r="A230" s="39" t="n">
        <v>46249</v>
      </c>
      <c r="B230" s="40" t="inlineStr">
        <is>
          <t>Saturday</t>
        </is>
      </c>
      <c r="C230" s="41" t="n">
        <v>0</v>
      </c>
      <c r="D230" s="41" t="n">
        <v>0</v>
      </c>
      <c r="E230" s="41" t="n">
        <v>0</v>
      </c>
      <c r="F230" s="41" t="n">
        <v>0</v>
      </c>
      <c r="G230" s="41" t="n">
        <v>0</v>
      </c>
      <c r="H230" s="40">
        <f>COUNTIF(C230:G230,1)</f>
        <v/>
      </c>
      <c r="I230" s="42">
        <f>H230/5</f>
        <v/>
      </c>
      <c r="J230" s="40" t="inlineStr"/>
    </row>
    <row r="231" ht="22" customHeight="1">
      <c r="A231" s="43" t="n">
        <v>46250</v>
      </c>
      <c r="B231" s="44" t="inlineStr">
        <is>
          <t>Sunday</t>
        </is>
      </c>
      <c r="C231" s="41" t="n">
        <v>0</v>
      </c>
      <c r="D231" s="41" t="n">
        <v>0</v>
      </c>
      <c r="E231" s="41" t="n">
        <v>0</v>
      </c>
      <c r="F231" s="41" t="n">
        <v>0</v>
      </c>
      <c r="G231" s="41" t="n">
        <v>0</v>
      </c>
      <c r="H231" s="44">
        <f>COUNTIF(C231:G231,1)</f>
        <v/>
      </c>
      <c r="I231" s="45">
        <f>H231/5</f>
        <v/>
      </c>
      <c r="J231" s="44" t="inlineStr"/>
    </row>
    <row r="232" ht="22" customHeight="1">
      <c r="A232" s="39" t="n">
        <v>46251</v>
      </c>
      <c r="B232" s="40" t="inlineStr">
        <is>
          <t>Monday</t>
        </is>
      </c>
      <c r="C232" s="41" t="n">
        <v>0</v>
      </c>
      <c r="D232" s="41" t="n">
        <v>0</v>
      </c>
      <c r="E232" s="41" t="n">
        <v>0</v>
      </c>
      <c r="F232" s="41" t="n">
        <v>0</v>
      </c>
      <c r="G232" s="41" t="n">
        <v>0</v>
      </c>
      <c r="H232" s="40">
        <f>COUNTIF(C232:G232,1)</f>
        <v/>
      </c>
      <c r="I232" s="42">
        <f>H232/5</f>
        <v/>
      </c>
      <c r="J232" s="40" t="inlineStr"/>
    </row>
    <row r="233" ht="22" customHeight="1">
      <c r="A233" s="43" t="n">
        <v>46252</v>
      </c>
      <c r="B233" s="44" t="inlineStr">
        <is>
          <t>Tuesday</t>
        </is>
      </c>
      <c r="C233" s="41" t="n">
        <v>0</v>
      </c>
      <c r="D233" s="41" t="n">
        <v>0</v>
      </c>
      <c r="E233" s="41" t="n">
        <v>0</v>
      </c>
      <c r="F233" s="41" t="n">
        <v>0</v>
      </c>
      <c r="G233" s="41" t="n">
        <v>0</v>
      </c>
      <c r="H233" s="44">
        <f>COUNTIF(C233:G233,1)</f>
        <v/>
      </c>
      <c r="I233" s="45">
        <f>H233/5</f>
        <v/>
      </c>
      <c r="J233" s="44" t="inlineStr"/>
    </row>
    <row r="234" ht="22" customHeight="1">
      <c r="A234" s="39" t="n">
        <v>46253</v>
      </c>
      <c r="B234" s="40" t="inlineStr">
        <is>
          <t>Wednesday</t>
        </is>
      </c>
      <c r="C234" s="41" t="n">
        <v>0</v>
      </c>
      <c r="D234" s="41" t="n">
        <v>0</v>
      </c>
      <c r="E234" s="41" t="n">
        <v>0</v>
      </c>
      <c r="F234" s="41" t="n">
        <v>0</v>
      </c>
      <c r="G234" s="41" t="n">
        <v>0</v>
      </c>
      <c r="H234" s="40">
        <f>COUNTIF(C234:G234,1)</f>
        <v/>
      </c>
      <c r="I234" s="42">
        <f>H234/5</f>
        <v/>
      </c>
      <c r="J234" s="40" t="inlineStr"/>
    </row>
    <row r="235" ht="22" customHeight="1">
      <c r="A235" s="43" t="n">
        <v>46254</v>
      </c>
      <c r="B235" s="44" t="inlineStr">
        <is>
          <t>Thursday</t>
        </is>
      </c>
      <c r="C235" s="41" t="n">
        <v>0</v>
      </c>
      <c r="D235" s="41" t="n">
        <v>0</v>
      </c>
      <c r="E235" s="41" t="n">
        <v>0</v>
      </c>
      <c r="F235" s="41" t="n">
        <v>0</v>
      </c>
      <c r="G235" s="41" t="n">
        <v>0</v>
      </c>
      <c r="H235" s="44">
        <f>COUNTIF(C235:G235,1)</f>
        <v/>
      </c>
      <c r="I235" s="45">
        <f>H235/5</f>
        <v/>
      </c>
      <c r="J235" s="44" t="inlineStr"/>
    </row>
    <row r="236" ht="22" customHeight="1">
      <c r="A236" s="39" t="n">
        <v>46255</v>
      </c>
      <c r="B236" s="40" t="inlineStr">
        <is>
          <t>Friday</t>
        </is>
      </c>
      <c r="C236" s="41" t="n">
        <v>0</v>
      </c>
      <c r="D236" s="41" t="n">
        <v>0</v>
      </c>
      <c r="E236" s="41" t="n">
        <v>0</v>
      </c>
      <c r="F236" s="41" t="n">
        <v>0</v>
      </c>
      <c r="G236" s="41" t="n">
        <v>0</v>
      </c>
      <c r="H236" s="40">
        <f>COUNTIF(C236:G236,1)</f>
        <v/>
      </c>
      <c r="I236" s="42">
        <f>H236/5</f>
        <v/>
      </c>
      <c r="J236" s="40" t="inlineStr"/>
    </row>
    <row r="237" ht="22" customHeight="1">
      <c r="A237" s="43" t="n">
        <v>46256</v>
      </c>
      <c r="B237" s="44" t="inlineStr">
        <is>
          <t>Saturday</t>
        </is>
      </c>
      <c r="C237" s="41" t="n">
        <v>0</v>
      </c>
      <c r="D237" s="41" t="n">
        <v>0</v>
      </c>
      <c r="E237" s="41" t="n">
        <v>0</v>
      </c>
      <c r="F237" s="41" t="n">
        <v>0</v>
      </c>
      <c r="G237" s="41" t="n">
        <v>0</v>
      </c>
      <c r="H237" s="44">
        <f>COUNTIF(C237:G237,1)</f>
        <v/>
      </c>
      <c r="I237" s="45">
        <f>H237/5</f>
        <v/>
      </c>
      <c r="J237" s="44" t="inlineStr"/>
    </row>
    <row r="238" ht="22" customHeight="1">
      <c r="A238" s="39" t="n">
        <v>46257</v>
      </c>
      <c r="B238" s="40" t="inlineStr">
        <is>
          <t>Sunday</t>
        </is>
      </c>
      <c r="C238" s="41" t="n">
        <v>0</v>
      </c>
      <c r="D238" s="41" t="n">
        <v>0</v>
      </c>
      <c r="E238" s="41" t="n">
        <v>0</v>
      </c>
      <c r="F238" s="41" t="n">
        <v>0</v>
      </c>
      <c r="G238" s="41" t="n">
        <v>0</v>
      </c>
      <c r="H238" s="40">
        <f>COUNTIF(C238:G238,1)</f>
        <v/>
      </c>
      <c r="I238" s="42">
        <f>H238/5</f>
        <v/>
      </c>
      <c r="J238" s="40" t="inlineStr"/>
    </row>
    <row r="239" ht="22" customHeight="1">
      <c r="A239" s="43" t="n">
        <v>46258</v>
      </c>
      <c r="B239" s="44" t="inlineStr">
        <is>
          <t>Monday</t>
        </is>
      </c>
      <c r="C239" s="41" t="n">
        <v>0</v>
      </c>
      <c r="D239" s="41" t="n">
        <v>0</v>
      </c>
      <c r="E239" s="41" t="n">
        <v>0</v>
      </c>
      <c r="F239" s="41" t="n">
        <v>0</v>
      </c>
      <c r="G239" s="41" t="n">
        <v>0</v>
      </c>
      <c r="H239" s="44">
        <f>COUNTIF(C239:G239,1)</f>
        <v/>
      </c>
      <c r="I239" s="45">
        <f>H239/5</f>
        <v/>
      </c>
      <c r="J239" s="44" t="inlineStr"/>
    </row>
    <row r="240" ht="22" customHeight="1">
      <c r="A240" s="39" t="n">
        <v>46259</v>
      </c>
      <c r="B240" s="40" t="inlineStr">
        <is>
          <t>Tuesday</t>
        </is>
      </c>
      <c r="C240" s="41" t="n">
        <v>0</v>
      </c>
      <c r="D240" s="41" t="n">
        <v>0</v>
      </c>
      <c r="E240" s="41" t="n">
        <v>0</v>
      </c>
      <c r="F240" s="41" t="n">
        <v>0</v>
      </c>
      <c r="G240" s="41" t="n">
        <v>0</v>
      </c>
      <c r="H240" s="40">
        <f>COUNTIF(C240:G240,1)</f>
        <v/>
      </c>
      <c r="I240" s="42">
        <f>H240/5</f>
        <v/>
      </c>
      <c r="J240" s="40" t="inlineStr"/>
    </row>
    <row r="241" ht="22" customHeight="1">
      <c r="A241" s="43" t="n">
        <v>46260</v>
      </c>
      <c r="B241" s="44" t="inlineStr">
        <is>
          <t>Wednesday</t>
        </is>
      </c>
      <c r="C241" s="41" t="n">
        <v>0</v>
      </c>
      <c r="D241" s="41" t="n">
        <v>0</v>
      </c>
      <c r="E241" s="41" t="n">
        <v>0</v>
      </c>
      <c r="F241" s="41" t="n">
        <v>0</v>
      </c>
      <c r="G241" s="41" t="n">
        <v>0</v>
      </c>
      <c r="H241" s="44">
        <f>COUNTIF(C241:G241,1)</f>
        <v/>
      </c>
      <c r="I241" s="45">
        <f>H241/5</f>
        <v/>
      </c>
      <c r="J241" s="44" t="inlineStr"/>
    </row>
    <row r="242" ht="22" customHeight="1">
      <c r="A242" s="39" t="n">
        <v>46261</v>
      </c>
      <c r="B242" s="40" t="inlineStr">
        <is>
          <t>Thursday</t>
        </is>
      </c>
      <c r="C242" s="41" t="n">
        <v>0</v>
      </c>
      <c r="D242" s="41" t="n">
        <v>0</v>
      </c>
      <c r="E242" s="41" t="n">
        <v>0</v>
      </c>
      <c r="F242" s="41" t="n">
        <v>0</v>
      </c>
      <c r="G242" s="41" t="n">
        <v>0</v>
      </c>
      <c r="H242" s="40">
        <f>COUNTIF(C242:G242,1)</f>
        <v/>
      </c>
      <c r="I242" s="42">
        <f>H242/5</f>
        <v/>
      </c>
      <c r="J242" s="40" t="inlineStr"/>
    </row>
    <row r="243" ht="22" customHeight="1">
      <c r="A243" s="43" t="n">
        <v>46262</v>
      </c>
      <c r="B243" s="44" t="inlineStr">
        <is>
          <t>Friday</t>
        </is>
      </c>
      <c r="C243" s="41" t="n">
        <v>0</v>
      </c>
      <c r="D243" s="41" t="n">
        <v>0</v>
      </c>
      <c r="E243" s="41" t="n">
        <v>0</v>
      </c>
      <c r="F243" s="41" t="n">
        <v>0</v>
      </c>
      <c r="G243" s="41" t="n">
        <v>0</v>
      </c>
      <c r="H243" s="44">
        <f>COUNTIF(C243:G243,1)</f>
        <v/>
      </c>
      <c r="I243" s="45">
        <f>H243/5</f>
        <v/>
      </c>
      <c r="J243" s="44" t="inlineStr"/>
    </row>
    <row r="244" ht="22" customHeight="1">
      <c r="A244" s="39" t="n">
        <v>46263</v>
      </c>
      <c r="B244" s="40" t="inlineStr">
        <is>
          <t>Saturday</t>
        </is>
      </c>
      <c r="C244" s="41" t="n">
        <v>0</v>
      </c>
      <c r="D244" s="41" t="n">
        <v>0</v>
      </c>
      <c r="E244" s="41" t="n">
        <v>0</v>
      </c>
      <c r="F244" s="41" t="n">
        <v>0</v>
      </c>
      <c r="G244" s="41" t="n">
        <v>0</v>
      </c>
      <c r="H244" s="40">
        <f>COUNTIF(C244:G244,1)</f>
        <v/>
      </c>
      <c r="I244" s="42">
        <f>H244/5</f>
        <v/>
      </c>
      <c r="J244" s="40" t="inlineStr"/>
    </row>
    <row r="245" ht="22" customHeight="1">
      <c r="A245" s="43" t="n">
        <v>46264</v>
      </c>
      <c r="B245" s="44" t="inlineStr">
        <is>
          <t>Sunday</t>
        </is>
      </c>
      <c r="C245" s="41" t="n">
        <v>0</v>
      </c>
      <c r="D245" s="41" t="n">
        <v>0</v>
      </c>
      <c r="E245" s="41" t="n">
        <v>0</v>
      </c>
      <c r="F245" s="41" t="n">
        <v>0</v>
      </c>
      <c r="G245" s="41" t="n">
        <v>0</v>
      </c>
      <c r="H245" s="44">
        <f>COUNTIF(C245:G245,1)</f>
        <v/>
      </c>
      <c r="I245" s="45">
        <f>H245/5</f>
        <v/>
      </c>
      <c r="J245" s="44" t="inlineStr"/>
    </row>
    <row r="246" ht="22" customHeight="1">
      <c r="A246" s="39" t="n">
        <v>46265</v>
      </c>
      <c r="B246" s="40" t="inlineStr">
        <is>
          <t>Monday</t>
        </is>
      </c>
      <c r="C246" s="41" t="n">
        <v>0</v>
      </c>
      <c r="D246" s="41" t="n">
        <v>0</v>
      </c>
      <c r="E246" s="41" t="n">
        <v>0</v>
      </c>
      <c r="F246" s="41" t="n">
        <v>0</v>
      </c>
      <c r="G246" s="41" t="n">
        <v>0</v>
      </c>
      <c r="H246" s="40">
        <f>COUNTIF(C246:G246,1)</f>
        <v/>
      </c>
      <c r="I246" s="42">
        <f>H246/5</f>
        <v/>
      </c>
      <c r="J246" s="40" t="inlineStr"/>
    </row>
    <row r="247" ht="22" customHeight="1">
      <c r="A247" s="43" t="n">
        <v>46266</v>
      </c>
      <c r="B247" s="44" t="inlineStr">
        <is>
          <t>Tuesday</t>
        </is>
      </c>
      <c r="C247" s="41" t="n">
        <v>0</v>
      </c>
      <c r="D247" s="41" t="n">
        <v>0</v>
      </c>
      <c r="E247" s="41" t="n">
        <v>0</v>
      </c>
      <c r="F247" s="41" t="n">
        <v>0</v>
      </c>
      <c r="G247" s="41" t="n">
        <v>0</v>
      </c>
      <c r="H247" s="44">
        <f>COUNTIF(C247:G247,1)</f>
        <v/>
      </c>
      <c r="I247" s="45">
        <f>H247/5</f>
        <v/>
      </c>
      <c r="J247" s="44" t="inlineStr"/>
    </row>
    <row r="248" ht="22" customHeight="1">
      <c r="A248" s="39" t="n">
        <v>46267</v>
      </c>
      <c r="B248" s="40" t="inlineStr">
        <is>
          <t>Wednesday</t>
        </is>
      </c>
      <c r="C248" s="41" t="n">
        <v>0</v>
      </c>
      <c r="D248" s="41" t="n">
        <v>0</v>
      </c>
      <c r="E248" s="41" t="n">
        <v>0</v>
      </c>
      <c r="F248" s="41" t="n">
        <v>0</v>
      </c>
      <c r="G248" s="41" t="n">
        <v>0</v>
      </c>
      <c r="H248" s="40">
        <f>COUNTIF(C248:G248,1)</f>
        <v/>
      </c>
      <c r="I248" s="42">
        <f>H248/5</f>
        <v/>
      </c>
      <c r="J248" s="40" t="inlineStr"/>
    </row>
    <row r="249" ht="22" customHeight="1">
      <c r="A249" s="43" t="n">
        <v>46268</v>
      </c>
      <c r="B249" s="44" t="inlineStr">
        <is>
          <t>Thursday</t>
        </is>
      </c>
      <c r="C249" s="41" t="n">
        <v>0</v>
      </c>
      <c r="D249" s="41" t="n">
        <v>0</v>
      </c>
      <c r="E249" s="41" t="n">
        <v>0</v>
      </c>
      <c r="F249" s="41" t="n">
        <v>0</v>
      </c>
      <c r="G249" s="41" t="n">
        <v>0</v>
      </c>
      <c r="H249" s="44">
        <f>COUNTIF(C249:G249,1)</f>
        <v/>
      </c>
      <c r="I249" s="45">
        <f>H249/5</f>
        <v/>
      </c>
      <c r="J249" s="44" t="inlineStr"/>
    </row>
    <row r="250" ht="22" customHeight="1">
      <c r="A250" s="39" t="n">
        <v>46269</v>
      </c>
      <c r="B250" s="40" t="inlineStr">
        <is>
          <t>Friday</t>
        </is>
      </c>
      <c r="C250" s="41" t="n">
        <v>0</v>
      </c>
      <c r="D250" s="41" t="n">
        <v>0</v>
      </c>
      <c r="E250" s="41" t="n">
        <v>0</v>
      </c>
      <c r="F250" s="41" t="n">
        <v>0</v>
      </c>
      <c r="G250" s="41" t="n">
        <v>0</v>
      </c>
      <c r="H250" s="40">
        <f>COUNTIF(C250:G250,1)</f>
        <v/>
      </c>
      <c r="I250" s="42">
        <f>H250/5</f>
        <v/>
      </c>
      <c r="J250" s="40" t="inlineStr"/>
    </row>
    <row r="251" ht="22" customHeight="1">
      <c r="A251" s="43" t="n">
        <v>46270</v>
      </c>
      <c r="B251" s="44" t="inlineStr">
        <is>
          <t>Saturday</t>
        </is>
      </c>
      <c r="C251" s="41" t="n">
        <v>0</v>
      </c>
      <c r="D251" s="41" t="n">
        <v>0</v>
      </c>
      <c r="E251" s="41" t="n">
        <v>0</v>
      </c>
      <c r="F251" s="41" t="n">
        <v>0</v>
      </c>
      <c r="G251" s="41" t="n">
        <v>0</v>
      </c>
      <c r="H251" s="44">
        <f>COUNTIF(C251:G251,1)</f>
        <v/>
      </c>
      <c r="I251" s="45">
        <f>H251/5</f>
        <v/>
      </c>
      <c r="J251" s="44" t="inlineStr"/>
    </row>
    <row r="252" ht="22" customHeight="1">
      <c r="A252" s="39" t="n">
        <v>46271</v>
      </c>
      <c r="B252" s="40" t="inlineStr">
        <is>
          <t>Sunday</t>
        </is>
      </c>
      <c r="C252" s="41" t="n">
        <v>0</v>
      </c>
      <c r="D252" s="41" t="n">
        <v>0</v>
      </c>
      <c r="E252" s="41" t="n">
        <v>0</v>
      </c>
      <c r="F252" s="41" t="n">
        <v>0</v>
      </c>
      <c r="G252" s="41" t="n">
        <v>0</v>
      </c>
      <c r="H252" s="40">
        <f>COUNTIF(C252:G252,1)</f>
        <v/>
      </c>
      <c r="I252" s="42">
        <f>H252/5</f>
        <v/>
      </c>
      <c r="J252" s="40" t="inlineStr"/>
    </row>
    <row r="253" ht="22" customHeight="1">
      <c r="A253" s="43" t="n">
        <v>46272</v>
      </c>
      <c r="B253" s="44" t="inlineStr">
        <is>
          <t>Monday</t>
        </is>
      </c>
      <c r="C253" s="41" t="n">
        <v>0</v>
      </c>
      <c r="D253" s="41" t="n">
        <v>0</v>
      </c>
      <c r="E253" s="41" t="n">
        <v>0</v>
      </c>
      <c r="F253" s="41" t="n">
        <v>0</v>
      </c>
      <c r="G253" s="41" t="n">
        <v>0</v>
      </c>
      <c r="H253" s="44">
        <f>COUNTIF(C253:G253,1)</f>
        <v/>
      </c>
      <c r="I253" s="45">
        <f>H253/5</f>
        <v/>
      </c>
      <c r="J253" s="44" t="inlineStr"/>
    </row>
    <row r="254" ht="22" customHeight="1">
      <c r="A254" s="39" t="n">
        <v>46273</v>
      </c>
      <c r="B254" s="40" t="inlineStr">
        <is>
          <t>Tuesday</t>
        </is>
      </c>
      <c r="C254" s="41" t="n">
        <v>0</v>
      </c>
      <c r="D254" s="41" t="n">
        <v>0</v>
      </c>
      <c r="E254" s="41" t="n">
        <v>0</v>
      </c>
      <c r="F254" s="41" t="n">
        <v>0</v>
      </c>
      <c r="G254" s="41" t="n">
        <v>0</v>
      </c>
      <c r="H254" s="40">
        <f>COUNTIF(C254:G254,1)</f>
        <v/>
      </c>
      <c r="I254" s="42">
        <f>H254/5</f>
        <v/>
      </c>
      <c r="J254" s="40" t="inlineStr"/>
    </row>
    <row r="255" ht="22" customHeight="1">
      <c r="A255" s="43" t="n">
        <v>46274</v>
      </c>
      <c r="B255" s="44" t="inlineStr">
        <is>
          <t>Wednesday</t>
        </is>
      </c>
      <c r="C255" s="41" t="n">
        <v>0</v>
      </c>
      <c r="D255" s="41" t="n">
        <v>0</v>
      </c>
      <c r="E255" s="41" t="n">
        <v>0</v>
      </c>
      <c r="F255" s="41" t="n">
        <v>0</v>
      </c>
      <c r="G255" s="41" t="n">
        <v>0</v>
      </c>
      <c r="H255" s="44">
        <f>COUNTIF(C255:G255,1)</f>
        <v/>
      </c>
      <c r="I255" s="45">
        <f>H255/5</f>
        <v/>
      </c>
      <c r="J255" s="44" t="inlineStr"/>
    </row>
    <row r="256" ht="22" customHeight="1">
      <c r="A256" s="39" t="n">
        <v>46275</v>
      </c>
      <c r="B256" s="40" t="inlineStr">
        <is>
          <t>Thursday</t>
        </is>
      </c>
      <c r="C256" s="41" t="n">
        <v>0</v>
      </c>
      <c r="D256" s="41" t="n">
        <v>0</v>
      </c>
      <c r="E256" s="41" t="n">
        <v>0</v>
      </c>
      <c r="F256" s="41" t="n">
        <v>0</v>
      </c>
      <c r="G256" s="41" t="n">
        <v>0</v>
      </c>
      <c r="H256" s="40">
        <f>COUNTIF(C256:G256,1)</f>
        <v/>
      </c>
      <c r="I256" s="42">
        <f>H256/5</f>
        <v/>
      </c>
      <c r="J256" s="40" t="inlineStr"/>
    </row>
    <row r="257" ht="22" customHeight="1">
      <c r="A257" s="43" t="n">
        <v>46276</v>
      </c>
      <c r="B257" s="44" t="inlineStr">
        <is>
          <t>Friday</t>
        </is>
      </c>
      <c r="C257" s="41" t="n">
        <v>0</v>
      </c>
      <c r="D257" s="41" t="n">
        <v>0</v>
      </c>
      <c r="E257" s="41" t="n">
        <v>0</v>
      </c>
      <c r="F257" s="41" t="n">
        <v>0</v>
      </c>
      <c r="G257" s="41" t="n">
        <v>0</v>
      </c>
      <c r="H257" s="44">
        <f>COUNTIF(C257:G257,1)</f>
        <v/>
      </c>
      <c r="I257" s="45">
        <f>H257/5</f>
        <v/>
      </c>
      <c r="J257" s="44" t="inlineStr"/>
    </row>
    <row r="258" ht="22" customHeight="1">
      <c r="A258" s="39" t="n">
        <v>46277</v>
      </c>
      <c r="B258" s="40" t="inlineStr">
        <is>
          <t>Saturday</t>
        </is>
      </c>
      <c r="C258" s="41" t="n">
        <v>0</v>
      </c>
      <c r="D258" s="41" t="n">
        <v>0</v>
      </c>
      <c r="E258" s="41" t="n">
        <v>0</v>
      </c>
      <c r="F258" s="41" t="n">
        <v>0</v>
      </c>
      <c r="G258" s="41" t="n">
        <v>0</v>
      </c>
      <c r="H258" s="40">
        <f>COUNTIF(C258:G258,1)</f>
        <v/>
      </c>
      <c r="I258" s="42">
        <f>H258/5</f>
        <v/>
      </c>
      <c r="J258" s="40" t="inlineStr"/>
    </row>
    <row r="259" ht="22" customHeight="1">
      <c r="A259" s="43" t="n">
        <v>46278</v>
      </c>
      <c r="B259" s="44" t="inlineStr">
        <is>
          <t>Sunday</t>
        </is>
      </c>
      <c r="C259" s="41" t="n">
        <v>0</v>
      </c>
      <c r="D259" s="41" t="n">
        <v>0</v>
      </c>
      <c r="E259" s="41" t="n">
        <v>0</v>
      </c>
      <c r="F259" s="41" t="n">
        <v>0</v>
      </c>
      <c r="G259" s="41" t="n">
        <v>0</v>
      </c>
      <c r="H259" s="44">
        <f>COUNTIF(C259:G259,1)</f>
        <v/>
      </c>
      <c r="I259" s="45">
        <f>H259/5</f>
        <v/>
      </c>
      <c r="J259" s="44" t="inlineStr"/>
    </row>
    <row r="260" ht="22" customHeight="1">
      <c r="A260" s="39" t="n">
        <v>46279</v>
      </c>
      <c r="B260" s="40" t="inlineStr">
        <is>
          <t>Monday</t>
        </is>
      </c>
      <c r="C260" s="41" t="n">
        <v>0</v>
      </c>
      <c r="D260" s="41" t="n">
        <v>0</v>
      </c>
      <c r="E260" s="41" t="n">
        <v>0</v>
      </c>
      <c r="F260" s="41" t="n">
        <v>0</v>
      </c>
      <c r="G260" s="41" t="n">
        <v>0</v>
      </c>
      <c r="H260" s="40">
        <f>COUNTIF(C260:G260,1)</f>
        <v/>
      </c>
      <c r="I260" s="42">
        <f>H260/5</f>
        <v/>
      </c>
      <c r="J260" s="40" t="inlineStr"/>
    </row>
    <row r="261" ht="22" customHeight="1">
      <c r="A261" s="43" t="n">
        <v>46280</v>
      </c>
      <c r="B261" s="44" t="inlineStr">
        <is>
          <t>Tuesday</t>
        </is>
      </c>
      <c r="C261" s="41" t="n">
        <v>0</v>
      </c>
      <c r="D261" s="41" t="n">
        <v>0</v>
      </c>
      <c r="E261" s="41" t="n">
        <v>0</v>
      </c>
      <c r="F261" s="41" t="n">
        <v>0</v>
      </c>
      <c r="G261" s="41" t="n">
        <v>0</v>
      </c>
      <c r="H261" s="44">
        <f>COUNTIF(C261:G261,1)</f>
        <v/>
      </c>
      <c r="I261" s="45">
        <f>H261/5</f>
        <v/>
      </c>
      <c r="J261" s="44" t="inlineStr"/>
    </row>
    <row r="262" ht="22" customHeight="1">
      <c r="A262" s="39" t="n">
        <v>46281</v>
      </c>
      <c r="B262" s="40" t="inlineStr">
        <is>
          <t>Wednesday</t>
        </is>
      </c>
      <c r="C262" s="41" t="n">
        <v>0</v>
      </c>
      <c r="D262" s="41" t="n">
        <v>0</v>
      </c>
      <c r="E262" s="41" t="n">
        <v>0</v>
      </c>
      <c r="F262" s="41" t="n">
        <v>0</v>
      </c>
      <c r="G262" s="41" t="n">
        <v>0</v>
      </c>
      <c r="H262" s="40">
        <f>COUNTIF(C262:G262,1)</f>
        <v/>
      </c>
      <c r="I262" s="42">
        <f>H262/5</f>
        <v/>
      </c>
      <c r="J262" s="40" t="inlineStr"/>
    </row>
    <row r="263" ht="22" customHeight="1">
      <c r="A263" s="43" t="n">
        <v>46282</v>
      </c>
      <c r="B263" s="44" t="inlineStr">
        <is>
          <t>Thursday</t>
        </is>
      </c>
      <c r="C263" s="41" t="n">
        <v>0</v>
      </c>
      <c r="D263" s="41" t="n">
        <v>0</v>
      </c>
      <c r="E263" s="41" t="n">
        <v>0</v>
      </c>
      <c r="F263" s="41" t="n">
        <v>0</v>
      </c>
      <c r="G263" s="41" t="n">
        <v>0</v>
      </c>
      <c r="H263" s="44">
        <f>COUNTIF(C263:G263,1)</f>
        <v/>
      </c>
      <c r="I263" s="45">
        <f>H263/5</f>
        <v/>
      </c>
      <c r="J263" s="44" t="inlineStr"/>
    </row>
    <row r="264" ht="22" customHeight="1">
      <c r="A264" s="39" t="n">
        <v>46283</v>
      </c>
      <c r="B264" s="40" t="inlineStr">
        <is>
          <t>Friday</t>
        </is>
      </c>
      <c r="C264" s="41" t="n">
        <v>0</v>
      </c>
      <c r="D264" s="41" t="n">
        <v>0</v>
      </c>
      <c r="E264" s="41" t="n">
        <v>0</v>
      </c>
      <c r="F264" s="41" t="n">
        <v>0</v>
      </c>
      <c r="G264" s="41" t="n">
        <v>0</v>
      </c>
      <c r="H264" s="40">
        <f>COUNTIF(C264:G264,1)</f>
        <v/>
      </c>
      <c r="I264" s="42">
        <f>H264/5</f>
        <v/>
      </c>
      <c r="J264" s="40" t="inlineStr"/>
    </row>
    <row r="265" ht="22" customHeight="1">
      <c r="A265" s="43" t="n">
        <v>46284</v>
      </c>
      <c r="B265" s="44" t="inlineStr">
        <is>
          <t>Saturday</t>
        </is>
      </c>
      <c r="C265" s="41" t="n">
        <v>0</v>
      </c>
      <c r="D265" s="41" t="n">
        <v>0</v>
      </c>
      <c r="E265" s="41" t="n">
        <v>0</v>
      </c>
      <c r="F265" s="41" t="n">
        <v>0</v>
      </c>
      <c r="G265" s="41" t="n">
        <v>0</v>
      </c>
      <c r="H265" s="44">
        <f>COUNTIF(C265:G265,1)</f>
        <v/>
      </c>
      <c r="I265" s="45">
        <f>H265/5</f>
        <v/>
      </c>
      <c r="J265" s="44" t="inlineStr"/>
    </row>
    <row r="266" ht="22" customHeight="1">
      <c r="A266" s="39" t="n">
        <v>46285</v>
      </c>
      <c r="B266" s="40" t="inlineStr">
        <is>
          <t>Sunday</t>
        </is>
      </c>
      <c r="C266" s="41" t="n">
        <v>0</v>
      </c>
      <c r="D266" s="41" t="n">
        <v>0</v>
      </c>
      <c r="E266" s="41" t="n">
        <v>0</v>
      </c>
      <c r="F266" s="41" t="n">
        <v>0</v>
      </c>
      <c r="G266" s="41" t="n">
        <v>0</v>
      </c>
      <c r="H266" s="40">
        <f>COUNTIF(C266:G266,1)</f>
        <v/>
      </c>
      <c r="I266" s="42">
        <f>H266/5</f>
        <v/>
      </c>
      <c r="J266" s="40" t="inlineStr"/>
    </row>
    <row r="267" ht="22" customHeight="1">
      <c r="A267" s="43" t="n">
        <v>46286</v>
      </c>
      <c r="B267" s="44" t="inlineStr">
        <is>
          <t>Monday</t>
        </is>
      </c>
      <c r="C267" s="41" t="n">
        <v>0</v>
      </c>
      <c r="D267" s="41" t="n">
        <v>0</v>
      </c>
      <c r="E267" s="41" t="n">
        <v>0</v>
      </c>
      <c r="F267" s="41" t="n">
        <v>0</v>
      </c>
      <c r="G267" s="41" t="n">
        <v>0</v>
      </c>
      <c r="H267" s="44">
        <f>COUNTIF(C267:G267,1)</f>
        <v/>
      </c>
      <c r="I267" s="45">
        <f>H267/5</f>
        <v/>
      </c>
      <c r="J267" s="44" t="inlineStr"/>
    </row>
    <row r="268" ht="22" customHeight="1">
      <c r="A268" s="39" t="n">
        <v>46287</v>
      </c>
      <c r="B268" s="40" t="inlineStr">
        <is>
          <t>Tuesday</t>
        </is>
      </c>
      <c r="C268" s="41" t="n">
        <v>0</v>
      </c>
      <c r="D268" s="41" t="n">
        <v>0</v>
      </c>
      <c r="E268" s="41" t="n">
        <v>0</v>
      </c>
      <c r="F268" s="41" t="n">
        <v>0</v>
      </c>
      <c r="G268" s="41" t="n">
        <v>0</v>
      </c>
      <c r="H268" s="40">
        <f>COUNTIF(C268:G268,1)</f>
        <v/>
      </c>
      <c r="I268" s="42">
        <f>H268/5</f>
        <v/>
      </c>
      <c r="J268" s="40" t="inlineStr"/>
    </row>
    <row r="269" ht="22" customHeight="1">
      <c r="A269" s="43" t="n">
        <v>46288</v>
      </c>
      <c r="B269" s="44" t="inlineStr">
        <is>
          <t>Wednesday</t>
        </is>
      </c>
      <c r="C269" s="41" t="n">
        <v>0</v>
      </c>
      <c r="D269" s="41" t="n">
        <v>0</v>
      </c>
      <c r="E269" s="41" t="n">
        <v>0</v>
      </c>
      <c r="F269" s="41" t="n">
        <v>0</v>
      </c>
      <c r="G269" s="41" t="n">
        <v>0</v>
      </c>
      <c r="H269" s="44">
        <f>COUNTIF(C269:G269,1)</f>
        <v/>
      </c>
      <c r="I269" s="45">
        <f>H269/5</f>
        <v/>
      </c>
      <c r="J269" s="44" t="inlineStr"/>
    </row>
    <row r="270" ht="22" customHeight="1">
      <c r="A270" s="39" t="n">
        <v>46289</v>
      </c>
      <c r="B270" s="40" t="inlineStr">
        <is>
          <t>Thursday</t>
        </is>
      </c>
      <c r="C270" s="41" t="n">
        <v>0</v>
      </c>
      <c r="D270" s="41" t="n">
        <v>0</v>
      </c>
      <c r="E270" s="41" t="n">
        <v>0</v>
      </c>
      <c r="F270" s="41" t="n">
        <v>0</v>
      </c>
      <c r="G270" s="41" t="n">
        <v>0</v>
      </c>
      <c r="H270" s="40">
        <f>COUNTIF(C270:G270,1)</f>
        <v/>
      </c>
      <c r="I270" s="42">
        <f>H270/5</f>
        <v/>
      </c>
      <c r="J270" s="40" t="inlineStr"/>
    </row>
    <row r="271" ht="22" customHeight="1">
      <c r="A271" s="43" t="n">
        <v>46290</v>
      </c>
      <c r="B271" s="44" t="inlineStr">
        <is>
          <t>Friday</t>
        </is>
      </c>
      <c r="C271" s="41" t="n">
        <v>0</v>
      </c>
      <c r="D271" s="41" t="n">
        <v>0</v>
      </c>
      <c r="E271" s="41" t="n">
        <v>0</v>
      </c>
      <c r="F271" s="41" t="n">
        <v>0</v>
      </c>
      <c r="G271" s="41" t="n">
        <v>0</v>
      </c>
      <c r="H271" s="44">
        <f>COUNTIF(C271:G271,1)</f>
        <v/>
      </c>
      <c r="I271" s="45">
        <f>H271/5</f>
        <v/>
      </c>
      <c r="J271" s="44" t="inlineStr"/>
    </row>
    <row r="272" ht="22" customHeight="1">
      <c r="A272" s="39" t="n">
        <v>46291</v>
      </c>
      <c r="B272" s="40" t="inlineStr">
        <is>
          <t>Saturday</t>
        </is>
      </c>
      <c r="C272" s="41" t="n">
        <v>0</v>
      </c>
      <c r="D272" s="41" t="n">
        <v>0</v>
      </c>
      <c r="E272" s="41" t="n">
        <v>0</v>
      </c>
      <c r="F272" s="41" t="n">
        <v>0</v>
      </c>
      <c r="G272" s="41" t="n">
        <v>0</v>
      </c>
      <c r="H272" s="40">
        <f>COUNTIF(C272:G272,1)</f>
        <v/>
      </c>
      <c r="I272" s="42">
        <f>H272/5</f>
        <v/>
      </c>
      <c r="J272" s="40" t="inlineStr"/>
    </row>
    <row r="273" ht="22" customHeight="1">
      <c r="A273" s="43" t="n">
        <v>46292</v>
      </c>
      <c r="B273" s="44" t="inlineStr">
        <is>
          <t>Sunday</t>
        </is>
      </c>
      <c r="C273" s="41" t="n">
        <v>0</v>
      </c>
      <c r="D273" s="41" t="n">
        <v>0</v>
      </c>
      <c r="E273" s="41" t="n">
        <v>0</v>
      </c>
      <c r="F273" s="41" t="n">
        <v>0</v>
      </c>
      <c r="G273" s="41" t="n">
        <v>0</v>
      </c>
      <c r="H273" s="44">
        <f>COUNTIF(C273:G273,1)</f>
        <v/>
      </c>
      <c r="I273" s="45">
        <f>H273/5</f>
        <v/>
      </c>
      <c r="J273" s="44" t="inlineStr"/>
    </row>
    <row r="274" ht="22" customHeight="1">
      <c r="A274" s="39" t="n">
        <v>46293</v>
      </c>
      <c r="B274" s="40" t="inlineStr">
        <is>
          <t>Monday</t>
        </is>
      </c>
      <c r="C274" s="41" t="n">
        <v>0</v>
      </c>
      <c r="D274" s="41" t="n">
        <v>0</v>
      </c>
      <c r="E274" s="41" t="n">
        <v>0</v>
      </c>
      <c r="F274" s="41" t="n">
        <v>0</v>
      </c>
      <c r="G274" s="41" t="n">
        <v>0</v>
      </c>
      <c r="H274" s="40">
        <f>COUNTIF(C274:G274,1)</f>
        <v/>
      </c>
      <c r="I274" s="42">
        <f>H274/5</f>
        <v/>
      </c>
      <c r="J274" s="40" t="inlineStr"/>
    </row>
    <row r="275" ht="22" customHeight="1">
      <c r="A275" s="43" t="n">
        <v>46294</v>
      </c>
      <c r="B275" s="44" t="inlineStr">
        <is>
          <t>Tuesday</t>
        </is>
      </c>
      <c r="C275" s="41" t="n">
        <v>0</v>
      </c>
      <c r="D275" s="41" t="n">
        <v>0</v>
      </c>
      <c r="E275" s="41" t="n">
        <v>0</v>
      </c>
      <c r="F275" s="41" t="n">
        <v>0</v>
      </c>
      <c r="G275" s="41" t="n">
        <v>0</v>
      </c>
      <c r="H275" s="44">
        <f>COUNTIF(C275:G275,1)</f>
        <v/>
      </c>
      <c r="I275" s="45">
        <f>H275/5</f>
        <v/>
      </c>
      <c r="J275" s="44" t="inlineStr"/>
    </row>
    <row r="276" ht="22" customHeight="1">
      <c r="A276" s="39" t="n">
        <v>46295</v>
      </c>
      <c r="B276" s="40" t="inlineStr">
        <is>
          <t>Wednesday</t>
        </is>
      </c>
      <c r="C276" s="41" t="n">
        <v>0</v>
      </c>
      <c r="D276" s="41" t="n">
        <v>0</v>
      </c>
      <c r="E276" s="41" t="n">
        <v>0</v>
      </c>
      <c r="F276" s="41" t="n">
        <v>0</v>
      </c>
      <c r="G276" s="41" t="n">
        <v>0</v>
      </c>
      <c r="H276" s="40">
        <f>COUNTIF(C276:G276,1)</f>
        <v/>
      </c>
      <c r="I276" s="42">
        <f>H276/5</f>
        <v/>
      </c>
      <c r="J276" s="40" t="inlineStr"/>
    </row>
    <row r="277" ht="22" customHeight="1">
      <c r="A277" s="43" t="n">
        <v>46296</v>
      </c>
      <c r="B277" s="44" t="inlineStr">
        <is>
          <t>Thursday</t>
        </is>
      </c>
      <c r="C277" s="41" t="n">
        <v>0</v>
      </c>
      <c r="D277" s="41" t="n">
        <v>0</v>
      </c>
      <c r="E277" s="41" t="n">
        <v>0</v>
      </c>
      <c r="F277" s="41" t="n">
        <v>0</v>
      </c>
      <c r="G277" s="41" t="n">
        <v>0</v>
      </c>
      <c r="H277" s="44">
        <f>COUNTIF(C277:G277,1)</f>
        <v/>
      </c>
      <c r="I277" s="45">
        <f>H277/5</f>
        <v/>
      </c>
      <c r="J277" s="44" t="inlineStr"/>
    </row>
    <row r="278" ht="22" customHeight="1">
      <c r="A278" s="39" t="n">
        <v>46297</v>
      </c>
      <c r="B278" s="40" t="inlineStr">
        <is>
          <t>Friday</t>
        </is>
      </c>
      <c r="C278" s="41" t="n">
        <v>0</v>
      </c>
      <c r="D278" s="41" t="n">
        <v>0</v>
      </c>
      <c r="E278" s="41" t="n">
        <v>0</v>
      </c>
      <c r="F278" s="41" t="n">
        <v>0</v>
      </c>
      <c r="G278" s="41" t="n">
        <v>0</v>
      </c>
      <c r="H278" s="40">
        <f>COUNTIF(C278:G278,1)</f>
        <v/>
      </c>
      <c r="I278" s="42">
        <f>H278/5</f>
        <v/>
      </c>
      <c r="J278" s="40" t="inlineStr"/>
    </row>
    <row r="279" ht="22" customHeight="1">
      <c r="A279" s="43" t="n">
        <v>46298</v>
      </c>
      <c r="B279" s="44" t="inlineStr">
        <is>
          <t>Saturday</t>
        </is>
      </c>
      <c r="C279" s="41" t="n">
        <v>0</v>
      </c>
      <c r="D279" s="41" t="n">
        <v>0</v>
      </c>
      <c r="E279" s="41" t="n">
        <v>0</v>
      </c>
      <c r="F279" s="41" t="n">
        <v>0</v>
      </c>
      <c r="G279" s="41" t="n">
        <v>0</v>
      </c>
      <c r="H279" s="44">
        <f>COUNTIF(C279:G279,1)</f>
        <v/>
      </c>
      <c r="I279" s="45">
        <f>H279/5</f>
        <v/>
      </c>
      <c r="J279" s="44" t="inlineStr"/>
    </row>
    <row r="280" ht="22" customHeight="1">
      <c r="A280" s="39" t="n">
        <v>46299</v>
      </c>
      <c r="B280" s="40" t="inlineStr">
        <is>
          <t>Sunday</t>
        </is>
      </c>
      <c r="C280" s="41" t="n">
        <v>0</v>
      </c>
      <c r="D280" s="41" t="n">
        <v>0</v>
      </c>
      <c r="E280" s="41" t="n">
        <v>0</v>
      </c>
      <c r="F280" s="41" t="n">
        <v>0</v>
      </c>
      <c r="G280" s="41" t="n">
        <v>0</v>
      </c>
      <c r="H280" s="40">
        <f>COUNTIF(C280:G280,1)</f>
        <v/>
      </c>
      <c r="I280" s="42">
        <f>H280/5</f>
        <v/>
      </c>
      <c r="J280" s="40" t="inlineStr"/>
    </row>
    <row r="281" ht="22" customHeight="1">
      <c r="A281" s="43" t="n">
        <v>46300</v>
      </c>
      <c r="B281" s="44" t="inlineStr">
        <is>
          <t>Monday</t>
        </is>
      </c>
      <c r="C281" s="41" t="n">
        <v>0</v>
      </c>
      <c r="D281" s="41" t="n">
        <v>0</v>
      </c>
      <c r="E281" s="41" t="n">
        <v>0</v>
      </c>
      <c r="F281" s="41" t="n">
        <v>0</v>
      </c>
      <c r="G281" s="41" t="n">
        <v>0</v>
      </c>
      <c r="H281" s="44">
        <f>COUNTIF(C281:G281,1)</f>
        <v/>
      </c>
      <c r="I281" s="45">
        <f>H281/5</f>
        <v/>
      </c>
      <c r="J281" s="44" t="inlineStr"/>
    </row>
    <row r="282" ht="22" customHeight="1">
      <c r="A282" s="39" t="n">
        <v>46301</v>
      </c>
      <c r="B282" s="40" t="inlineStr">
        <is>
          <t>Tuesday</t>
        </is>
      </c>
      <c r="C282" s="41" t="n">
        <v>0</v>
      </c>
      <c r="D282" s="41" t="n">
        <v>0</v>
      </c>
      <c r="E282" s="41" t="n">
        <v>0</v>
      </c>
      <c r="F282" s="41" t="n">
        <v>0</v>
      </c>
      <c r="G282" s="41" t="n">
        <v>0</v>
      </c>
      <c r="H282" s="40">
        <f>COUNTIF(C282:G282,1)</f>
        <v/>
      </c>
      <c r="I282" s="42">
        <f>H282/5</f>
        <v/>
      </c>
      <c r="J282" s="40" t="inlineStr"/>
    </row>
    <row r="283" ht="22" customHeight="1">
      <c r="A283" s="43" t="n">
        <v>46302</v>
      </c>
      <c r="B283" s="44" t="inlineStr">
        <is>
          <t>Wednesday</t>
        </is>
      </c>
      <c r="C283" s="41" t="n">
        <v>0</v>
      </c>
      <c r="D283" s="41" t="n">
        <v>0</v>
      </c>
      <c r="E283" s="41" t="n">
        <v>0</v>
      </c>
      <c r="F283" s="41" t="n">
        <v>0</v>
      </c>
      <c r="G283" s="41" t="n">
        <v>0</v>
      </c>
      <c r="H283" s="44">
        <f>COUNTIF(C283:G283,1)</f>
        <v/>
      </c>
      <c r="I283" s="45">
        <f>H283/5</f>
        <v/>
      </c>
      <c r="J283" s="44" t="inlineStr"/>
    </row>
    <row r="284" ht="22" customHeight="1">
      <c r="A284" s="39" t="n">
        <v>46303</v>
      </c>
      <c r="B284" s="40" t="inlineStr">
        <is>
          <t>Thursday</t>
        </is>
      </c>
      <c r="C284" s="41" t="n">
        <v>0</v>
      </c>
      <c r="D284" s="41" t="n">
        <v>0</v>
      </c>
      <c r="E284" s="41" t="n">
        <v>0</v>
      </c>
      <c r="F284" s="41" t="n">
        <v>0</v>
      </c>
      <c r="G284" s="41" t="n">
        <v>0</v>
      </c>
      <c r="H284" s="40">
        <f>COUNTIF(C284:G284,1)</f>
        <v/>
      </c>
      <c r="I284" s="42">
        <f>H284/5</f>
        <v/>
      </c>
      <c r="J284" s="40" t="inlineStr"/>
    </row>
    <row r="285" ht="22" customHeight="1">
      <c r="A285" s="43" t="n">
        <v>46304</v>
      </c>
      <c r="B285" s="44" t="inlineStr">
        <is>
          <t>Friday</t>
        </is>
      </c>
      <c r="C285" s="41" t="n">
        <v>0</v>
      </c>
      <c r="D285" s="41" t="n">
        <v>0</v>
      </c>
      <c r="E285" s="41" t="n">
        <v>0</v>
      </c>
      <c r="F285" s="41" t="n">
        <v>0</v>
      </c>
      <c r="G285" s="41" t="n">
        <v>0</v>
      </c>
      <c r="H285" s="44">
        <f>COUNTIF(C285:G285,1)</f>
        <v/>
      </c>
      <c r="I285" s="45">
        <f>H285/5</f>
        <v/>
      </c>
      <c r="J285" s="44" t="inlineStr"/>
    </row>
    <row r="286" ht="22" customHeight="1">
      <c r="A286" s="39" t="n">
        <v>46305</v>
      </c>
      <c r="B286" s="40" t="inlineStr">
        <is>
          <t>Saturday</t>
        </is>
      </c>
      <c r="C286" s="41" t="n">
        <v>0</v>
      </c>
      <c r="D286" s="41" t="n">
        <v>0</v>
      </c>
      <c r="E286" s="41" t="n">
        <v>0</v>
      </c>
      <c r="F286" s="41" t="n">
        <v>0</v>
      </c>
      <c r="G286" s="41" t="n">
        <v>0</v>
      </c>
      <c r="H286" s="40">
        <f>COUNTIF(C286:G286,1)</f>
        <v/>
      </c>
      <c r="I286" s="42">
        <f>H286/5</f>
        <v/>
      </c>
      <c r="J286" s="40" t="inlineStr"/>
    </row>
    <row r="287" ht="22" customHeight="1">
      <c r="A287" s="43" t="n">
        <v>46306</v>
      </c>
      <c r="B287" s="44" t="inlineStr">
        <is>
          <t>Sunday</t>
        </is>
      </c>
      <c r="C287" s="41" t="n">
        <v>0</v>
      </c>
      <c r="D287" s="41" t="n">
        <v>0</v>
      </c>
      <c r="E287" s="41" t="n">
        <v>0</v>
      </c>
      <c r="F287" s="41" t="n">
        <v>0</v>
      </c>
      <c r="G287" s="41" t="n">
        <v>0</v>
      </c>
      <c r="H287" s="44">
        <f>COUNTIF(C287:G287,1)</f>
        <v/>
      </c>
      <c r="I287" s="45">
        <f>H287/5</f>
        <v/>
      </c>
      <c r="J287" s="44" t="inlineStr"/>
    </row>
    <row r="288" ht="22" customHeight="1">
      <c r="A288" s="39" t="n">
        <v>46307</v>
      </c>
      <c r="B288" s="40" t="inlineStr">
        <is>
          <t>Monday</t>
        </is>
      </c>
      <c r="C288" s="41" t="n">
        <v>0</v>
      </c>
      <c r="D288" s="41" t="n">
        <v>0</v>
      </c>
      <c r="E288" s="41" t="n">
        <v>0</v>
      </c>
      <c r="F288" s="41" t="n">
        <v>0</v>
      </c>
      <c r="G288" s="41" t="n">
        <v>0</v>
      </c>
      <c r="H288" s="40">
        <f>COUNTIF(C288:G288,1)</f>
        <v/>
      </c>
      <c r="I288" s="42">
        <f>H288/5</f>
        <v/>
      </c>
      <c r="J288" s="40" t="inlineStr"/>
    </row>
    <row r="289" ht="22" customHeight="1">
      <c r="A289" s="43" t="n">
        <v>46308</v>
      </c>
      <c r="B289" s="44" t="inlineStr">
        <is>
          <t>Tuesday</t>
        </is>
      </c>
      <c r="C289" s="41" t="n">
        <v>0</v>
      </c>
      <c r="D289" s="41" t="n">
        <v>0</v>
      </c>
      <c r="E289" s="41" t="n">
        <v>0</v>
      </c>
      <c r="F289" s="41" t="n">
        <v>0</v>
      </c>
      <c r="G289" s="41" t="n">
        <v>0</v>
      </c>
      <c r="H289" s="44">
        <f>COUNTIF(C289:G289,1)</f>
        <v/>
      </c>
      <c r="I289" s="45">
        <f>H289/5</f>
        <v/>
      </c>
      <c r="J289" s="44" t="inlineStr"/>
    </row>
    <row r="290" ht="22" customHeight="1">
      <c r="A290" s="39" t="n">
        <v>46309</v>
      </c>
      <c r="B290" s="40" t="inlineStr">
        <is>
          <t>Wednesday</t>
        </is>
      </c>
      <c r="C290" s="41" t="n">
        <v>0</v>
      </c>
      <c r="D290" s="41" t="n">
        <v>0</v>
      </c>
      <c r="E290" s="41" t="n">
        <v>0</v>
      </c>
      <c r="F290" s="41" t="n">
        <v>0</v>
      </c>
      <c r="G290" s="41" t="n">
        <v>0</v>
      </c>
      <c r="H290" s="40">
        <f>COUNTIF(C290:G290,1)</f>
        <v/>
      </c>
      <c r="I290" s="42">
        <f>H290/5</f>
        <v/>
      </c>
      <c r="J290" s="40" t="inlineStr"/>
    </row>
    <row r="291" ht="22" customHeight="1">
      <c r="A291" s="43" t="n">
        <v>46310</v>
      </c>
      <c r="B291" s="44" t="inlineStr">
        <is>
          <t>Thursday</t>
        </is>
      </c>
      <c r="C291" s="41" t="n">
        <v>0</v>
      </c>
      <c r="D291" s="41" t="n">
        <v>0</v>
      </c>
      <c r="E291" s="41" t="n">
        <v>0</v>
      </c>
      <c r="F291" s="41" t="n">
        <v>0</v>
      </c>
      <c r="G291" s="41" t="n">
        <v>0</v>
      </c>
      <c r="H291" s="44">
        <f>COUNTIF(C291:G291,1)</f>
        <v/>
      </c>
      <c r="I291" s="45">
        <f>H291/5</f>
        <v/>
      </c>
      <c r="J291" s="44" t="inlineStr"/>
    </row>
    <row r="292" ht="22" customHeight="1">
      <c r="A292" s="39" t="n">
        <v>46311</v>
      </c>
      <c r="B292" s="40" t="inlineStr">
        <is>
          <t>Friday</t>
        </is>
      </c>
      <c r="C292" s="41" t="n">
        <v>0</v>
      </c>
      <c r="D292" s="41" t="n">
        <v>0</v>
      </c>
      <c r="E292" s="41" t="n">
        <v>0</v>
      </c>
      <c r="F292" s="41" t="n">
        <v>0</v>
      </c>
      <c r="G292" s="41" t="n">
        <v>0</v>
      </c>
      <c r="H292" s="40">
        <f>COUNTIF(C292:G292,1)</f>
        <v/>
      </c>
      <c r="I292" s="42">
        <f>H292/5</f>
        <v/>
      </c>
      <c r="J292" s="40" t="inlineStr"/>
    </row>
    <row r="293" ht="22" customHeight="1">
      <c r="A293" s="43" t="n">
        <v>46312</v>
      </c>
      <c r="B293" s="44" t="inlineStr">
        <is>
          <t>Saturday</t>
        </is>
      </c>
      <c r="C293" s="41" t="n">
        <v>0</v>
      </c>
      <c r="D293" s="41" t="n">
        <v>0</v>
      </c>
      <c r="E293" s="41" t="n">
        <v>0</v>
      </c>
      <c r="F293" s="41" t="n">
        <v>0</v>
      </c>
      <c r="G293" s="41" t="n">
        <v>0</v>
      </c>
      <c r="H293" s="44">
        <f>COUNTIF(C293:G293,1)</f>
        <v/>
      </c>
      <c r="I293" s="45">
        <f>H293/5</f>
        <v/>
      </c>
      <c r="J293" s="44" t="inlineStr"/>
    </row>
    <row r="294" ht="22" customHeight="1">
      <c r="A294" s="39" t="n">
        <v>46313</v>
      </c>
      <c r="B294" s="40" t="inlineStr">
        <is>
          <t>Sunday</t>
        </is>
      </c>
      <c r="C294" s="41" t="n">
        <v>0</v>
      </c>
      <c r="D294" s="41" t="n">
        <v>0</v>
      </c>
      <c r="E294" s="41" t="n">
        <v>0</v>
      </c>
      <c r="F294" s="41" t="n">
        <v>0</v>
      </c>
      <c r="G294" s="41" t="n">
        <v>0</v>
      </c>
      <c r="H294" s="40">
        <f>COUNTIF(C294:G294,1)</f>
        <v/>
      </c>
      <c r="I294" s="42">
        <f>H294/5</f>
        <v/>
      </c>
      <c r="J294" s="40" t="inlineStr"/>
    </row>
    <row r="295" ht="22" customHeight="1">
      <c r="A295" s="43" t="n">
        <v>46314</v>
      </c>
      <c r="B295" s="44" t="inlineStr">
        <is>
          <t>Monday</t>
        </is>
      </c>
      <c r="C295" s="41" t="n">
        <v>0</v>
      </c>
      <c r="D295" s="41" t="n">
        <v>0</v>
      </c>
      <c r="E295" s="41" t="n">
        <v>0</v>
      </c>
      <c r="F295" s="41" t="n">
        <v>0</v>
      </c>
      <c r="G295" s="41" t="n">
        <v>0</v>
      </c>
      <c r="H295" s="44">
        <f>COUNTIF(C295:G295,1)</f>
        <v/>
      </c>
      <c r="I295" s="45">
        <f>H295/5</f>
        <v/>
      </c>
      <c r="J295" s="44" t="inlineStr"/>
    </row>
    <row r="296" ht="22" customHeight="1">
      <c r="A296" s="39" t="n">
        <v>46315</v>
      </c>
      <c r="B296" s="40" t="inlineStr">
        <is>
          <t>Tuesday</t>
        </is>
      </c>
      <c r="C296" s="41" t="n">
        <v>0</v>
      </c>
      <c r="D296" s="41" t="n">
        <v>0</v>
      </c>
      <c r="E296" s="41" t="n">
        <v>0</v>
      </c>
      <c r="F296" s="41" t="n">
        <v>0</v>
      </c>
      <c r="G296" s="41" t="n">
        <v>0</v>
      </c>
      <c r="H296" s="40">
        <f>COUNTIF(C296:G296,1)</f>
        <v/>
      </c>
      <c r="I296" s="42">
        <f>H296/5</f>
        <v/>
      </c>
      <c r="J296" s="40" t="inlineStr"/>
    </row>
    <row r="297" ht="22" customHeight="1">
      <c r="A297" s="43" t="n">
        <v>46316</v>
      </c>
      <c r="B297" s="44" t="inlineStr">
        <is>
          <t>Wednesday</t>
        </is>
      </c>
      <c r="C297" s="41" t="n">
        <v>0</v>
      </c>
      <c r="D297" s="41" t="n">
        <v>0</v>
      </c>
      <c r="E297" s="41" t="n">
        <v>0</v>
      </c>
      <c r="F297" s="41" t="n">
        <v>0</v>
      </c>
      <c r="G297" s="41" t="n">
        <v>0</v>
      </c>
      <c r="H297" s="44">
        <f>COUNTIF(C297:G297,1)</f>
        <v/>
      </c>
      <c r="I297" s="45">
        <f>H297/5</f>
        <v/>
      </c>
      <c r="J297" s="44" t="inlineStr"/>
    </row>
    <row r="298" ht="22" customHeight="1">
      <c r="A298" s="39" t="n">
        <v>46317</v>
      </c>
      <c r="B298" s="40" t="inlineStr">
        <is>
          <t>Thursday</t>
        </is>
      </c>
      <c r="C298" s="41" t="n">
        <v>0</v>
      </c>
      <c r="D298" s="41" t="n">
        <v>0</v>
      </c>
      <c r="E298" s="41" t="n">
        <v>0</v>
      </c>
      <c r="F298" s="41" t="n">
        <v>0</v>
      </c>
      <c r="G298" s="41" t="n">
        <v>0</v>
      </c>
      <c r="H298" s="40">
        <f>COUNTIF(C298:G298,1)</f>
        <v/>
      </c>
      <c r="I298" s="42">
        <f>H298/5</f>
        <v/>
      </c>
      <c r="J298" s="40" t="inlineStr"/>
    </row>
    <row r="299" ht="22" customHeight="1">
      <c r="A299" s="43" t="n">
        <v>46318</v>
      </c>
      <c r="B299" s="44" t="inlineStr">
        <is>
          <t>Friday</t>
        </is>
      </c>
      <c r="C299" s="41" t="n">
        <v>0</v>
      </c>
      <c r="D299" s="41" t="n">
        <v>0</v>
      </c>
      <c r="E299" s="41" t="n">
        <v>0</v>
      </c>
      <c r="F299" s="41" t="n">
        <v>0</v>
      </c>
      <c r="G299" s="41" t="n">
        <v>0</v>
      </c>
      <c r="H299" s="44">
        <f>COUNTIF(C299:G299,1)</f>
        <v/>
      </c>
      <c r="I299" s="45">
        <f>H299/5</f>
        <v/>
      </c>
      <c r="J299" s="44" t="inlineStr"/>
    </row>
    <row r="300" ht="22" customHeight="1">
      <c r="A300" s="39" t="n">
        <v>46319</v>
      </c>
      <c r="B300" s="40" t="inlineStr">
        <is>
          <t>Saturday</t>
        </is>
      </c>
      <c r="C300" s="41" t="n">
        <v>0</v>
      </c>
      <c r="D300" s="41" t="n">
        <v>0</v>
      </c>
      <c r="E300" s="41" t="n">
        <v>0</v>
      </c>
      <c r="F300" s="41" t="n">
        <v>0</v>
      </c>
      <c r="G300" s="41" t="n">
        <v>0</v>
      </c>
      <c r="H300" s="40">
        <f>COUNTIF(C300:G300,1)</f>
        <v/>
      </c>
      <c r="I300" s="42">
        <f>H300/5</f>
        <v/>
      </c>
      <c r="J300" s="40" t="inlineStr"/>
    </row>
    <row r="301" ht="22" customHeight="1">
      <c r="A301" s="43" t="n">
        <v>46320</v>
      </c>
      <c r="B301" s="44" t="inlineStr">
        <is>
          <t>Sunday</t>
        </is>
      </c>
      <c r="C301" s="41" t="n">
        <v>0</v>
      </c>
      <c r="D301" s="41" t="n">
        <v>0</v>
      </c>
      <c r="E301" s="41" t="n">
        <v>0</v>
      </c>
      <c r="F301" s="41" t="n">
        <v>0</v>
      </c>
      <c r="G301" s="41" t="n">
        <v>0</v>
      </c>
      <c r="H301" s="44">
        <f>COUNTIF(C301:G301,1)</f>
        <v/>
      </c>
      <c r="I301" s="45">
        <f>H301/5</f>
        <v/>
      </c>
      <c r="J301" s="44" t="inlineStr"/>
    </row>
    <row r="302" ht="22" customHeight="1">
      <c r="A302" s="39" t="n">
        <v>46321</v>
      </c>
      <c r="B302" s="40" t="inlineStr">
        <is>
          <t>Monday</t>
        </is>
      </c>
      <c r="C302" s="41" t="n">
        <v>0</v>
      </c>
      <c r="D302" s="41" t="n">
        <v>0</v>
      </c>
      <c r="E302" s="41" t="n">
        <v>0</v>
      </c>
      <c r="F302" s="41" t="n">
        <v>0</v>
      </c>
      <c r="G302" s="41" t="n">
        <v>0</v>
      </c>
      <c r="H302" s="40">
        <f>COUNTIF(C302:G302,1)</f>
        <v/>
      </c>
      <c r="I302" s="42">
        <f>H302/5</f>
        <v/>
      </c>
      <c r="J302" s="40" t="inlineStr"/>
    </row>
    <row r="303" ht="22" customHeight="1">
      <c r="A303" s="43" t="n">
        <v>46322</v>
      </c>
      <c r="B303" s="44" t="inlineStr">
        <is>
          <t>Tuesday</t>
        </is>
      </c>
      <c r="C303" s="41" t="n">
        <v>0</v>
      </c>
      <c r="D303" s="41" t="n">
        <v>0</v>
      </c>
      <c r="E303" s="41" t="n">
        <v>0</v>
      </c>
      <c r="F303" s="41" t="n">
        <v>0</v>
      </c>
      <c r="G303" s="41" t="n">
        <v>0</v>
      </c>
      <c r="H303" s="44">
        <f>COUNTIF(C303:G303,1)</f>
        <v/>
      </c>
      <c r="I303" s="45">
        <f>H303/5</f>
        <v/>
      </c>
      <c r="J303" s="44" t="inlineStr"/>
    </row>
    <row r="304" ht="22" customHeight="1">
      <c r="A304" s="39" t="n">
        <v>46323</v>
      </c>
      <c r="B304" s="40" t="inlineStr">
        <is>
          <t>Wednesday</t>
        </is>
      </c>
      <c r="C304" s="41" t="n">
        <v>0</v>
      </c>
      <c r="D304" s="41" t="n">
        <v>0</v>
      </c>
      <c r="E304" s="41" t="n">
        <v>0</v>
      </c>
      <c r="F304" s="41" t="n">
        <v>0</v>
      </c>
      <c r="G304" s="41" t="n">
        <v>0</v>
      </c>
      <c r="H304" s="40">
        <f>COUNTIF(C304:G304,1)</f>
        <v/>
      </c>
      <c r="I304" s="42">
        <f>H304/5</f>
        <v/>
      </c>
      <c r="J304" s="40" t="inlineStr"/>
    </row>
    <row r="305" ht="22" customHeight="1">
      <c r="A305" s="43" t="n">
        <v>46324</v>
      </c>
      <c r="B305" s="44" t="inlineStr">
        <is>
          <t>Thursday</t>
        </is>
      </c>
      <c r="C305" s="41" t="n">
        <v>0</v>
      </c>
      <c r="D305" s="41" t="n">
        <v>0</v>
      </c>
      <c r="E305" s="41" t="n">
        <v>0</v>
      </c>
      <c r="F305" s="41" t="n">
        <v>0</v>
      </c>
      <c r="G305" s="41" t="n">
        <v>0</v>
      </c>
      <c r="H305" s="44">
        <f>COUNTIF(C305:G305,1)</f>
        <v/>
      </c>
      <c r="I305" s="45">
        <f>H305/5</f>
        <v/>
      </c>
      <c r="J305" s="44" t="inlineStr"/>
    </row>
    <row r="306" ht="22" customHeight="1">
      <c r="A306" s="39" t="n">
        <v>46325</v>
      </c>
      <c r="B306" s="40" t="inlineStr">
        <is>
          <t>Friday</t>
        </is>
      </c>
      <c r="C306" s="41" t="n">
        <v>0</v>
      </c>
      <c r="D306" s="41" t="n">
        <v>0</v>
      </c>
      <c r="E306" s="41" t="n">
        <v>0</v>
      </c>
      <c r="F306" s="41" t="n">
        <v>0</v>
      </c>
      <c r="G306" s="41" t="n">
        <v>0</v>
      </c>
      <c r="H306" s="40">
        <f>COUNTIF(C306:G306,1)</f>
        <v/>
      </c>
      <c r="I306" s="42">
        <f>H306/5</f>
        <v/>
      </c>
      <c r="J306" s="40" t="inlineStr"/>
    </row>
    <row r="307" ht="22" customHeight="1">
      <c r="A307" s="43" t="n">
        <v>46326</v>
      </c>
      <c r="B307" s="44" t="inlineStr">
        <is>
          <t>Saturday</t>
        </is>
      </c>
      <c r="C307" s="41" t="n">
        <v>0</v>
      </c>
      <c r="D307" s="41" t="n">
        <v>0</v>
      </c>
      <c r="E307" s="41" t="n">
        <v>0</v>
      </c>
      <c r="F307" s="41" t="n">
        <v>0</v>
      </c>
      <c r="G307" s="41" t="n">
        <v>0</v>
      </c>
      <c r="H307" s="44">
        <f>COUNTIF(C307:G307,1)</f>
        <v/>
      </c>
      <c r="I307" s="45">
        <f>H307/5</f>
        <v/>
      </c>
      <c r="J307" s="44" t="inlineStr"/>
    </row>
    <row r="308" ht="22" customHeight="1">
      <c r="A308" s="39" t="n">
        <v>46327</v>
      </c>
      <c r="B308" s="40" t="inlineStr">
        <is>
          <t>Sunday</t>
        </is>
      </c>
      <c r="C308" s="41" t="n">
        <v>0</v>
      </c>
      <c r="D308" s="41" t="n">
        <v>0</v>
      </c>
      <c r="E308" s="41" t="n">
        <v>0</v>
      </c>
      <c r="F308" s="41" t="n">
        <v>0</v>
      </c>
      <c r="G308" s="41" t="n">
        <v>0</v>
      </c>
      <c r="H308" s="40">
        <f>COUNTIF(C308:G308,1)</f>
        <v/>
      </c>
      <c r="I308" s="42">
        <f>H308/5</f>
        <v/>
      </c>
      <c r="J308" s="40" t="inlineStr"/>
    </row>
    <row r="309" ht="22" customHeight="1">
      <c r="A309" s="43" t="n">
        <v>46328</v>
      </c>
      <c r="B309" s="44" t="inlineStr">
        <is>
          <t>Monday</t>
        </is>
      </c>
      <c r="C309" s="41" t="n">
        <v>0</v>
      </c>
      <c r="D309" s="41" t="n">
        <v>0</v>
      </c>
      <c r="E309" s="41" t="n">
        <v>0</v>
      </c>
      <c r="F309" s="41" t="n">
        <v>0</v>
      </c>
      <c r="G309" s="41" t="n">
        <v>0</v>
      </c>
      <c r="H309" s="44">
        <f>COUNTIF(C309:G309,1)</f>
        <v/>
      </c>
      <c r="I309" s="45">
        <f>H309/5</f>
        <v/>
      </c>
      <c r="J309" s="44" t="inlineStr"/>
    </row>
    <row r="310" ht="22" customHeight="1">
      <c r="A310" s="39" t="n">
        <v>46329</v>
      </c>
      <c r="B310" s="40" t="inlineStr">
        <is>
          <t>Tuesday</t>
        </is>
      </c>
      <c r="C310" s="41" t="n">
        <v>0</v>
      </c>
      <c r="D310" s="41" t="n">
        <v>0</v>
      </c>
      <c r="E310" s="41" t="n">
        <v>0</v>
      </c>
      <c r="F310" s="41" t="n">
        <v>0</v>
      </c>
      <c r="G310" s="41" t="n">
        <v>0</v>
      </c>
      <c r="H310" s="40">
        <f>COUNTIF(C310:G310,1)</f>
        <v/>
      </c>
      <c r="I310" s="42">
        <f>H310/5</f>
        <v/>
      </c>
      <c r="J310" s="40" t="inlineStr"/>
    </row>
    <row r="311" ht="22" customHeight="1">
      <c r="A311" s="43" t="n">
        <v>46330</v>
      </c>
      <c r="B311" s="44" t="inlineStr">
        <is>
          <t>Wednesday</t>
        </is>
      </c>
      <c r="C311" s="41" t="n">
        <v>0</v>
      </c>
      <c r="D311" s="41" t="n">
        <v>0</v>
      </c>
      <c r="E311" s="41" t="n">
        <v>0</v>
      </c>
      <c r="F311" s="41" t="n">
        <v>0</v>
      </c>
      <c r="G311" s="41" t="n">
        <v>0</v>
      </c>
      <c r="H311" s="44">
        <f>COUNTIF(C311:G311,1)</f>
        <v/>
      </c>
      <c r="I311" s="45">
        <f>H311/5</f>
        <v/>
      </c>
      <c r="J311" s="44" t="inlineStr"/>
    </row>
    <row r="312" ht="22" customHeight="1">
      <c r="A312" s="39" t="n">
        <v>46331</v>
      </c>
      <c r="B312" s="40" t="inlineStr">
        <is>
          <t>Thursday</t>
        </is>
      </c>
      <c r="C312" s="41" t="n">
        <v>0</v>
      </c>
      <c r="D312" s="41" t="n">
        <v>0</v>
      </c>
      <c r="E312" s="41" t="n">
        <v>0</v>
      </c>
      <c r="F312" s="41" t="n">
        <v>0</v>
      </c>
      <c r="G312" s="41" t="n">
        <v>0</v>
      </c>
      <c r="H312" s="40">
        <f>COUNTIF(C312:G312,1)</f>
        <v/>
      </c>
      <c r="I312" s="42">
        <f>H312/5</f>
        <v/>
      </c>
      <c r="J312" s="40" t="inlineStr"/>
    </row>
    <row r="313" ht="22" customHeight="1">
      <c r="A313" s="43" t="n">
        <v>46332</v>
      </c>
      <c r="B313" s="44" t="inlineStr">
        <is>
          <t>Friday</t>
        </is>
      </c>
      <c r="C313" s="41" t="n">
        <v>0</v>
      </c>
      <c r="D313" s="41" t="n">
        <v>0</v>
      </c>
      <c r="E313" s="41" t="n">
        <v>0</v>
      </c>
      <c r="F313" s="41" t="n">
        <v>0</v>
      </c>
      <c r="G313" s="41" t="n">
        <v>0</v>
      </c>
      <c r="H313" s="44">
        <f>COUNTIF(C313:G313,1)</f>
        <v/>
      </c>
      <c r="I313" s="45">
        <f>H313/5</f>
        <v/>
      </c>
      <c r="J313" s="44" t="inlineStr"/>
    </row>
    <row r="314" ht="22" customHeight="1">
      <c r="A314" s="39" t="n">
        <v>46333</v>
      </c>
      <c r="B314" s="40" t="inlineStr">
        <is>
          <t>Saturday</t>
        </is>
      </c>
      <c r="C314" s="41" t="n">
        <v>0</v>
      </c>
      <c r="D314" s="41" t="n">
        <v>0</v>
      </c>
      <c r="E314" s="41" t="n">
        <v>0</v>
      </c>
      <c r="F314" s="41" t="n">
        <v>0</v>
      </c>
      <c r="G314" s="41" t="n">
        <v>0</v>
      </c>
      <c r="H314" s="40">
        <f>COUNTIF(C314:G314,1)</f>
        <v/>
      </c>
      <c r="I314" s="42">
        <f>H314/5</f>
        <v/>
      </c>
      <c r="J314" s="40" t="inlineStr"/>
    </row>
    <row r="315" ht="22" customHeight="1">
      <c r="A315" s="43" t="n">
        <v>46334</v>
      </c>
      <c r="B315" s="44" t="inlineStr">
        <is>
          <t>Sunday</t>
        </is>
      </c>
      <c r="C315" s="41" t="n">
        <v>0</v>
      </c>
      <c r="D315" s="41" t="n">
        <v>0</v>
      </c>
      <c r="E315" s="41" t="n">
        <v>0</v>
      </c>
      <c r="F315" s="41" t="n">
        <v>0</v>
      </c>
      <c r="G315" s="41" t="n">
        <v>0</v>
      </c>
      <c r="H315" s="44">
        <f>COUNTIF(C315:G315,1)</f>
        <v/>
      </c>
      <c r="I315" s="45">
        <f>H315/5</f>
        <v/>
      </c>
      <c r="J315" s="44" t="inlineStr"/>
    </row>
    <row r="316" ht="22" customHeight="1">
      <c r="A316" s="39" t="n">
        <v>46335</v>
      </c>
      <c r="B316" s="40" t="inlineStr">
        <is>
          <t>Monday</t>
        </is>
      </c>
      <c r="C316" s="41" t="n">
        <v>0</v>
      </c>
      <c r="D316" s="41" t="n">
        <v>0</v>
      </c>
      <c r="E316" s="41" t="n">
        <v>0</v>
      </c>
      <c r="F316" s="41" t="n">
        <v>0</v>
      </c>
      <c r="G316" s="41" t="n">
        <v>0</v>
      </c>
      <c r="H316" s="40">
        <f>COUNTIF(C316:G316,1)</f>
        <v/>
      </c>
      <c r="I316" s="42">
        <f>H316/5</f>
        <v/>
      </c>
      <c r="J316" s="40" t="inlineStr"/>
    </row>
    <row r="317" ht="22" customHeight="1">
      <c r="A317" s="43" t="n">
        <v>46336</v>
      </c>
      <c r="B317" s="44" t="inlineStr">
        <is>
          <t>Tuesday</t>
        </is>
      </c>
      <c r="C317" s="41" t="n">
        <v>0</v>
      </c>
      <c r="D317" s="41" t="n">
        <v>0</v>
      </c>
      <c r="E317" s="41" t="n">
        <v>0</v>
      </c>
      <c r="F317" s="41" t="n">
        <v>0</v>
      </c>
      <c r="G317" s="41" t="n">
        <v>0</v>
      </c>
      <c r="H317" s="44">
        <f>COUNTIF(C317:G317,1)</f>
        <v/>
      </c>
      <c r="I317" s="45">
        <f>H317/5</f>
        <v/>
      </c>
      <c r="J317" s="44" t="inlineStr"/>
    </row>
    <row r="318" ht="22" customHeight="1">
      <c r="A318" s="39" t="n">
        <v>46337</v>
      </c>
      <c r="B318" s="40" t="inlineStr">
        <is>
          <t>Wednesday</t>
        </is>
      </c>
      <c r="C318" s="41" t="n">
        <v>0</v>
      </c>
      <c r="D318" s="41" t="n">
        <v>0</v>
      </c>
      <c r="E318" s="41" t="n">
        <v>0</v>
      </c>
      <c r="F318" s="41" t="n">
        <v>0</v>
      </c>
      <c r="G318" s="41" t="n">
        <v>0</v>
      </c>
      <c r="H318" s="40">
        <f>COUNTIF(C318:G318,1)</f>
        <v/>
      </c>
      <c r="I318" s="42">
        <f>H318/5</f>
        <v/>
      </c>
      <c r="J318" s="40" t="inlineStr"/>
    </row>
    <row r="319" ht="22" customHeight="1">
      <c r="A319" s="43" t="n">
        <v>46338</v>
      </c>
      <c r="B319" s="44" t="inlineStr">
        <is>
          <t>Thursday</t>
        </is>
      </c>
      <c r="C319" s="41" t="n">
        <v>0</v>
      </c>
      <c r="D319" s="41" t="n">
        <v>0</v>
      </c>
      <c r="E319" s="41" t="n">
        <v>0</v>
      </c>
      <c r="F319" s="41" t="n">
        <v>0</v>
      </c>
      <c r="G319" s="41" t="n">
        <v>0</v>
      </c>
      <c r="H319" s="44">
        <f>COUNTIF(C319:G319,1)</f>
        <v/>
      </c>
      <c r="I319" s="45">
        <f>H319/5</f>
        <v/>
      </c>
      <c r="J319" s="44" t="inlineStr"/>
    </row>
    <row r="320" ht="22" customHeight="1">
      <c r="A320" s="39" t="n">
        <v>46339</v>
      </c>
      <c r="B320" s="40" t="inlineStr">
        <is>
          <t>Friday</t>
        </is>
      </c>
      <c r="C320" s="41" t="n">
        <v>0</v>
      </c>
      <c r="D320" s="41" t="n">
        <v>0</v>
      </c>
      <c r="E320" s="41" t="n">
        <v>0</v>
      </c>
      <c r="F320" s="41" t="n">
        <v>0</v>
      </c>
      <c r="G320" s="41" t="n">
        <v>0</v>
      </c>
      <c r="H320" s="40">
        <f>COUNTIF(C320:G320,1)</f>
        <v/>
      </c>
      <c r="I320" s="42">
        <f>H320/5</f>
        <v/>
      </c>
      <c r="J320" s="40" t="inlineStr"/>
    </row>
    <row r="321" ht="22" customHeight="1">
      <c r="A321" s="43" t="n">
        <v>46340</v>
      </c>
      <c r="B321" s="44" t="inlineStr">
        <is>
          <t>Saturday</t>
        </is>
      </c>
      <c r="C321" s="41" t="n">
        <v>0</v>
      </c>
      <c r="D321" s="41" t="n">
        <v>0</v>
      </c>
      <c r="E321" s="41" t="n">
        <v>0</v>
      </c>
      <c r="F321" s="41" t="n">
        <v>0</v>
      </c>
      <c r="G321" s="41" t="n">
        <v>0</v>
      </c>
      <c r="H321" s="44">
        <f>COUNTIF(C321:G321,1)</f>
        <v/>
      </c>
      <c r="I321" s="45">
        <f>H321/5</f>
        <v/>
      </c>
      <c r="J321" s="44" t="inlineStr"/>
    </row>
    <row r="322" ht="22" customHeight="1">
      <c r="A322" s="39" t="n">
        <v>46341</v>
      </c>
      <c r="B322" s="40" t="inlineStr">
        <is>
          <t>Sunday</t>
        </is>
      </c>
      <c r="C322" s="41" t="n">
        <v>0</v>
      </c>
      <c r="D322" s="41" t="n">
        <v>0</v>
      </c>
      <c r="E322" s="41" t="n">
        <v>0</v>
      </c>
      <c r="F322" s="41" t="n">
        <v>0</v>
      </c>
      <c r="G322" s="41" t="n">
        <v>0</v>
      </c>
      <c r="H322" s="40">
        <f>COUNTIF(C322:G322,1)</f>
        <v/>
      </c>
      <c r="I322" s="42">
        <f>H322/5</f>
        <v/>
      </c>
      <c r="J322" s="40" t="inlineStr"/>
    </row>
    <row r="323" ht="22" customHeight="1">
      <c r="A323" s="43" t="n">
        <v>46342</v>
      </c>
      <c r="B323" s="44" t="inlineStr">
        <is>
          <t>Monday</t>
        </is>
      </c>
      <c r="C323" s="41" t="n">
        <v>0</v>
      </c>
      <c r="D323" s="41" t="n">
        <v>0</v>
      </c>
      <c r="E323" s="41" t="n">
        <v>0</v>
      </c>
      <c r="F323" s="41" t="n">
        <v>0</v>
      </c>
      <c r="G323" s="41" t="n">
        <v>0</v>
      </c>
      <c r="H323" s="44">
        <f>COUNTIF(C323:G323,1)</f>
        <v/>
      </c>
      <c r="I323" s="45">
        <f>H323/5</f>
        <v/>
      </c>
      <c r="J323" s="44" t="inlineStr"/>
    </row>
    <row r="324" ht="22" customHeight="1">
      <c r="A324" s="39" t="n">
        <v>46343</v>
      </c>
      <c r="B324" s="40" t="inlineStr">
        <is>
          <t>Tuesday</t>
        </is>
      </c>
      <c r="C324" s="41" t="n">
        <v>0</v>
      </c>
      <c r="D324" s="41" t="n">
        <v>0</v>
      </c>
      <c r="E324" s="41" t="n">
        <v>0</v>
      </c>
      <c r="F324" s="41" t="n">
        <v>0</v>
      </c>
      <c r="G324" s="41" t="n">
        <v>0</v>
      </c>
      <c r="H324" s="40">
        <f>COUNTIF(C324:G324,1)</f>
        <v/>
      </c>
      <c r="I324" s="42">
        <f>H324/5</f>
        <v/>
      </c>
      <c r="J324" s="40" t="inlineStr"/>
    </row>
    <row r="325" ht="22" customHeight="1">
      <c r="A325" s="43" t="n">
        <v>46344</v>
      </c>
      <c r="B325" s="44" t="inlineStr">
        <is>
          <t>Wednesday</t>
        </is>
      </c>
      <c r="C325" s="41" t="n">
        <v>0</v>
      </c>
      <c r="D325" s="41" t="n">
        <v>0</v>
      </c>
      <c r="E325" s="41" t="n">
        <v>0</v>
      </c>
      <c r="F325" s="41" t="n">
        <v>0</v>
      </c>
      <c r="G325" s="41" t="n">
        <v>0</v>
      </c>
      <c r="H325" s="44">
        <f>COUNTIF(C325:G325,1)</f>
        <v/>
      </c>
      <c r="I325" s="45">
        <f>H325/5</f>
        <v/>
      </c>
      <c r="J325" s="44" t="inlineStr"/>
    </row>
    <row r="326" ht="22" customHeight="1">
      <c r="A326" s="39" t="n">
        <v>46345</v>
      </c>
      <c r="B326" s="40" t="inlineStr">
        <is>
          <t>Thursday</t>
        </is>
      </c>
      <c r="C326" s="41" t="n">
        <v>0</v>
      </c>
      <c r="D326" s="41" t="n">
        <v>0</v>
      </c>
      <c r="E326" s="41" t="n">
        <v>0</v>
      </c>
      <c r="F326" s="41" t="n">
        <v>0</v>
      </c>
      <c r="G326" s="41" t="n">
        <v>0</v>
      </c>
      <c r="H326" s="40">
        <f>COUNTIF(C326:G326,1)</f>
        <v/>
      </c>
      <c r="I326" s="42">
        <f>H326/5</f>
        <v/>
      </c>
      <c r="J326" s="40" t="inlineStr"/>
    </row>
    <row r="327" ht="22" customHeight="1">
      <c r="A327" s="43" t="n">
        <v>46346</v>
      </c>
      <c r="B327" s="44" t="inlineStr">
        <is>
          <t>Friday</t>
        </is>
      </c>
      <c r="C327" s="41" t="n">
        <v>0</v>
      </c>
      <c r="D327" s="41" t="n">
        <v>0</v>
      </c>
      <c r="E327" s="41" t="n">
        <v>0</v>
      </c>
      <c r="F327" s="41" t="n">
        <v>0</v>
      </c>
      <c r="G327" s="41" t="n">
        <v>0</v>
      </c>
      <c r="H327" s="44">
        <f>COUNTIF(C327:G327,1)</f>
        <v/>
      </c>
      <c r="I327" s="45">
        <f>H327/5</f>
        <v/>
      </c>
      <c r="J327" s="44" t="inlineStr"/>
    </row>
    <row r="328" ht="22" customHeight="1">
      <c r="A328" s="39" t="n">
        <v>46347</v>
      </c>
      <c r="B328" s="40" t="inlineStr">
        <is>
          <t>Saturday</t>
        </is>
      </c>
      <c r="C328" s="41" t="n">
        <v>0</v>
      </c>
      <c r="D328" s="41" t="n">
        <v>0</v>
      </c>
      <c r="E328" s="41" t="n">
        <v>0</v>
      </c>
      <c r="F328" s="41" t="n">
        <v>0</v>
      </c>
      <c r="G328" s="41" t="n">
        <v>0</v>
      </c>
      <c r="H328" s="40">
        <f>COUNTIF(C328:G328,1)</f>
        <v/>
      </c>
      <c r="I328" s="42">
        <f>H328/5</f>
        <v/>
      </c>
      <c r="J328" s="40" t="inlineStr"/>
    </row>
    <row r="329" ht="22" customHeight="1">
      <c r="A329" s="43" t="n">
        <v>46348</v>
      </c>
      <c r="B329" s="44" t="inlineStr">
        <is>
          <t>Sunday</t>
        </is>
      </c>
      <c r="C329" s="41" t="n">
        <v>0</v>
      </c>
      <c r="D329" s="41" t="n">
        <v>0</v>
      </c>
      <c r="E329" s="41" t="n">
        <v>0</v>
      </c>
      <c r="F329" s="41" t="n">
        <v>0</v>
      </c>
      <c r="G329" s="41" t="n">
        <v>0</v>
      </c>
      <c r="H329" s="44">
        <f>COUNTIF(C329:G329,1)</f>
        <v/>
      </c>
      <c r="I329" s="45">
        <f>H329/5</f>
        <v/>
      </c>
      <c r="J329" s="44" t="inlineStr"/>
    </row>
    <row r="330" ht="22" customHeight="1">
      <c r="A330" s="39" t="n">
        <v>46349</v>
      </c>
      <c r="B330" s="40" t="inlineStr">
        <is>
          <t>Monday</t>
        </is>
      </c>
      <c r="C330" s="41" t="n">
        <v>0</v>
      </c>
      <c r="D330" s="41" t="n">
        <v>0</v>
      </c>
      <c r="E330" s="41" t="n">
        <v>0</v>
      </c>
      <c r="F330" s="41" t="n">
        <v>0</v>
      </c>
      <c r="G330" s="41" t="n">
        <v>0</v>
      </c>
      <c r="H330" s="40">
        <f>COUNTIF(C330:G330,1)</f>
        <v/>
      </c>
      <c r="I330" s="42">
        <f>H330/5</f>
        <v/>
      </c>
      <c r="J330" s="40" t="inlineStr"/>
    </row>
    <row r="331" ht="22" customHeight="1">
      <c r="A331" s="43" t="n">
        <v>46350</v>
      </c>
      <c r="B331" s="44" t="inlineStr">
        <is>
          <t>Tuesday</t>
        </is>
      </c>
      <c r="C331" s="41" t="n">
        <v>0</v>
      </c>
      <c r="D331" s="41" t="n">
        <v>0</v>
      </c>
      <c r="E331" s="41" t="n">
        <v>0</v>
      </c>
      <c r="F331" s="41" t="n">
        <v>0</v>
      </c>
      <c r="G331" s="41" t="n">
        <v>0</v>
      </c>
      <c r="H331" s="44">
        <f>COUNTIF(C331:G331,1)</f>
        <v/>
      </c>
      <c r="I331" s="45">
        <f>H331/5</f>
        <v/>
      </c>
      <c r="J331" s="44" t="inlineStr"/>
    </row>
    <row r="332" ht="22" customHeight="1">
      <c r="A332" s="39" t="n">
        <v>46351</v>
      </c>
      <c r="B332" s="40" t="inlineStr">
        <is>
          <t>Wednesday</t>
        </is>
      </c>
      <c r="C332" s="41" t="n">
        <v>0</v>
      </c>
      <c r="D332" s="41" t="n">
        <v>0</v>
      </c>
      <c r="E332" s="41" t="n">
        <v>0</v>
      </c>
      <c r="F332" s="41" t="n">
        <v>0</v>
      </c>
      <c r="G332" s="41" t="n">
        <v>0</v>
      </c>
      <c r="H332" s="40">
        <f>COUNTIF(C332:G332,1)</f>
        <v/>
      </c>
      <c r="I332" s="42">
        <f>H332/5</f>
        <v/>
      </c>
      <c r="J332" s="40" t="inlineStr"/>
    </row>
    <row r="333" ht="22" customHeight="1">
      <c r="A333" s="43" t="n">
        <v>46352</v>
      </c>
      <c r="B333" s="44" t="inlineStr">
        <is>
          <t>Thursday</t>
        </is>
      </c>
      <c r="C333" s="41" t="n">
        <v>0</v>
      </c>
      <c r="D333" s="41" t="n">
        <v>0</v>
      </c>
      <c r="E333" s="41" t="n">
        <v>0</v>
      </c>
      <c r="F333" s="41" t="n">
        <v>0</v>
      </c>
      <c r="G333" s="41" t="n">
        <v>0</v>
      </c>
      <c r="H333" s="44">
        <f>COUNTIF(C333:G333,1)</f>
        <v/>
      </c>
      <c r="I333" s="45">
        <f>H333/5</f>
        <v/>
      </c>
      <c r="J333" s="44" t="inlineStr"/>
    </row>
    <row r="334" ht="22" customHeight="1">
      <c r="A334" s="39" t="n">
        <v>46353</v>
      </c>
      <c r="B334" s="40" t="inlineStr">
        <is>
          <t>Friday</t>
        </is>
      </c>
      <c r="C334" s="41" t="n">
        <v>0</v>
      </c>
      <c r="D334" s="41" t="n">
        <v>0</v>
      </c>
      <c r="E334" s="41" t="n">
        <v>0</v>
      </c>
      <c r="F334" s="41" t="n">
        <v>0</v>
      </c>
      <c r="G334" s="41" t="n">
        <v>0</v>
      </c>
      <c r="H334" s="40">
        <f>COUNTIF(C334:G334,1)</f>
        <v/>
      </c>
      <c r="I334" s="42">
        <f>H334/5</f>
        <v/>
      </c>
      <c r="J334" s="40" t="inlineStr"/>
    </row>
    <row r="335" ht="22" customHeight="1">
      <c r="A335" s="43" t="n">
        <v>46354</v>
      </c>
      <c r="B335" s="44" t="inlineStr">
        <is>
          <t>Saturday</t>
        </is>
      </c>
      <c r="C335" s="41" t="n">
        <v>0</v>
      </c>
      <c r="D335" s="41" t="n">
        <v>0</v>
      </c>
      <c r="E335" s="41" t="n">
        <v>0</v>
      </c>
      <c r="F335" s="41" t="n">
        <v>0</v>
      </c>
      <c r="G335" s="41" t="n">
        <v>0</v>
      </c>
      <c r="H335" s="44">
        <f>COUNTIF(C335:G335,1)</f>
        <v/>
      </c>
      <c r="I335" s="45">
        <f>H335/5</f>
        <v/>
      </c>
      <c r="J335" s="44" t="inlineStr"/>
    </row>
    <row r="336" ht="22" customHeight="1">
      <c r="A336" s="39" t="n">
        <v>46355</v>
      </c>
      <c r="B336" s="40" t="inlineStr">
        <is>
          <t>Sunday</t>
        </is>
      </c>
      <c r="C336" s="41" t="n">
        <v>0</v>
      </c>
      <c r="D336" s="41" t="n">
        <v>0</v>
      </c>
      <c r="E336" s="41" t="n">
        <v>0</v>
      </c>
      <c r="F336" s="41" t="n">
        <v>0</v>
      </c>
      <c r="G336" s="41" t="n">
        <v>0</v>
      </c>
      <c r="H336" s="40">
        <f>COUNTIF(C336:G336,1)</f>
        <v/>
      </c>
      <c r="I336" s="42">
        <f>H336/5</f>
        <v/>
      </c>
      <c r="J336" s="40" t="inlineStr"/>
    </row>
    <row r="337" ht="22" customHeight="1">
      <c r="A337" s="43" t="n">
        <v>46356</v>
      </c>
      <c r="B337" s="44" t="inlineStr">
        <is>
          <t>Monday</t>
        </is>
      </c>
      <c r="C337" s="41" t="n">
        <v>0</v>
      </c>
      <c r="D337" s="41" t="n">
        <v>0</v>
      </c>
      <c r="E337" s="41" t="n">
        <v>0</v>
      </c>
      <c r="F337" s="41" t="n">
        <v>0</v>
      </c>
      <c r="G337" s="41" t="n">
        <v>0</v>
      </c>
      <c r="H337" s="44">
        <f>COUNTIF(C337:G337,1)</f>
        <v/>
      </c>
      <c r="I337" s="45">
        <f>H337/5</f>
        <v/>
      </c>
      <c r="J337" s="44" t="inlineStr"/>
    </row>
    <row r="338" ht="22" customHeight="1">
      <c r="A338" s="39" t="n">
        <v>46357</v>
      </c>
      <c r="B338" s="40" t="inlineStr">
        <is>
          <t>Tuesday</t>
        </is>
      </c>
      <c r="C338" s="41" t="n">
        <v>0</v>
      </c>
      <c r="D338" s="41" t="n">
        <v>0</v>
      </c>
      <c r="E338" s="41" t="n">
        <v>0</v>
      </c>
      <c r="F338" s="41" t="n">
        <v>0</v>
      </c>
      <c r="G338" s="41" t="n">
        <v>0</v>
      </c>
      <c r="H338" s="40">
        <f>COUNTIF(C338:G338,1)</f>
        <v/>
      </c>
      <c r="I338" s="42">
        <f>H338/5</f>
        <v/>
      </c>
      <c r="J338" s="40" t="inlineStr"/>
    </row>
    <row r="339" ht="22" customHeight="1">
      <c r="A339" s="43" t="n">
        <v>46358</v>
      </c>
      <c r="B339" s="44" t="inlineStr">
        <is>
          <t>Wednesday</t>
        </is>
      </c>
      <c r="C339" s="41" t="n">
        <v>0</v>
      </c>
      <c r="D339" s="41" t="n">
        <v>0</v>
      </c>
      <c r="E339" s="41" t="n">
        <v>0</v>
      </c>
      <c r="F339" s="41" t="n">
        <v>0</v>
      </c>
      <c r="G339" s="41" t="n">
        <v>0</v>
      </c>
      <c r="H339" s="44">
        <f>COUNTIF(C339:G339,1)</f>
        <v/>
      </c>
      <c r="I339" s="45">
        <f>H339/5</f>
        <v/>
      </c>
      <c r="J339" s="44" t="inlineStr"/>
    </row>
    <row r="340" ht="22" customHeight="1">
      <c r="A340" s="39" t="n">
        <v>46359</v>
      </c>
      <c r="B340" s="40" t="inlineStr">
        <is>
          <t>Thursday</t>
        </is>
      </c>
      <c r="C340" s="41" t="n">
        <v>0</v>
      </c>
      <c r="D340" s="41" t="n">
        <v>0</v>
      </c>
      <c r="E340" s="41" t="n">
        <v>0</v>
      </c>
      <c r="F340" s="41" t="n">
        <v>0</v>
      </c>
      <c r="G340" s="41" t="n">
        <v>0</v>
      </c>
      <c r="H340" s="40">
        <f>COUNTIF(C340:G340,1)</f>
        <v/>
      </c>
      <c r="I340" s="42">
        <f>H340/5</f>
        <v/>
      </c>
      <c r="J340" s="40" t="inlineStr"/>
    </row>
    <row r="341" ht="22" customHeight="1">
      <c r="A341" s="43" t="n">
        <v>46360</v>
      </c>
      <c r="B341" s="44" t="inlineStr">
        <is>
          <t>Friday</t>
        </is>
      </c>
      <c r="C341" s="41" t="n">
        <v>0</v>
      </c>
      <c r="D341" s="41" t="n">
        <v>0</v>
      </c>
      <c r="E341" s="41" t="n">
        <v>0</v>
      </c>
      <c r="F341" s="41" t="n">
        <v>0</v>
      </c>
      <c r="G341" s="41" t="n">
        <v>0</v>
      </c>
      <c r="H341" s="44">
        <f>COUNTIF(C341:G341,1)</f>
        <v/>
      </c>
      <c r="I341" s="45">
        <f>H341/5</f>
        <v/>
      </c>
      <c r="J341" s="44" t="inlineStr"/>
    </row>
    <row r="342" ht="22" customHeight="1">
      <c r="A342" s="39" t="n">
        <v>46361</v>
      </c>
      <c r="B342" s="40" t="inlineStr">
        <is>
          <t>Saturday</t>
        </is>
      </c>
      <c r="C342" s="41" t="n">
        <v>0</v>
      </c>
      <c r="D342" s="41" t="n">
        <v>0</v>
      </c>
      <c r="E342" s="41" t="n">
        <v>0</v>
      </c>
      <c r="F342" s="41" t="n">
        <v>0</v>
      </c>
      <c r="G342" s="41" t="n">
        <v>0</v>
      </c>
      <c r="H342" s="40">
        <f>COUNTIF(C342:G342,1)</f>
        <v/>
      </c>
      <c r="I342" s="42">
        <f>H342/5</f>
        <v/>
      </c>
      <c r="J342" s="40" t="inlineStr"/>
    </row>
    <row r="343" ht="22" customHeight="1">
      <c r="A343" s="43" t="n">
        <v>46362</v>
      </c>
      <c r="B343" s="44" t="inlineStr">
        <is>
          <t>Sunday</t>
        </is>
      </c>
      <c r="C343" s="41" t="n">
        <v>0</v>
      </c>
      <c r="D343" s="41" t="n">
        <v>0</v>
      </c>
      <c r="E343" s="41" t="n">
        <v>0</v>
      </c>
      <c r="F343" s="41" t="n">
        <v>0</v>
      </c>
      <c r="G343" s="41" t="n">
        <v>0</v>
      </c>
      <c r="H343" s="44">
        <f>COUNTIF(C343:G343,1)</f>
        <v/>
      </c>
      <c r="I343" s="45">
        <f>H343/5</f>
        <v/>
      </c>
      <c r="J343" s="44" t="inlineStr"/>
    </row>
    <row r="344" ht="22" customHeight="1">
      <c r="A344" s="39" t="n">
        <v>46363</v>
      </c>
      <c r="B344" s="40" t="inlineStr">
        <is>
          <t>Monday</t>
        </is>
      </c>
      <c r="C344" s="41" t="n">
        <v>0</v>
      </c>
      <c r="D344" s="41" t="n">
        <v>0</v>
      </c>
      <c r="E344" s="41" t="n">
        <v>0</v>
      </c>
      <c r="F344" s="41" t="n">
        <v>0</v>
      </c>
      <c r="G344" s="41" t="n">
        <v>0</v>
      </c>
      <c r="H344" s="40">
        <f>COUNTIF(C344:G344,1)</f>
        <v/>
      </c>
      <c r="I344" s="42">
        <f>H344/5</f>
        <v/>
      </c>
      <c r="J344" s="40" t="inlineStr"/>
    </row>
    <row r="345" ht="22" customHeight="1">
      <c r="A345" s="43" t="n">
        <v>46364</v>
      </c>
      <c r="B345" s="44" t="inlineStr">
        <is>
          <t>Tuesday</t>
        </is>
      </c>
      <c r="C345" s="41" t="n">
        <v>0</v>
      </c>
      <c r="D345" s="41" t="n">
        <v>0</v>
      </c>
      <c r="E345" s="41" t="n">
        <v>0</v>
      </c>
      <c r="F345" s="41" t="n">
        <v>0</v>
      </c>
      <c r="G345" s="41" t="n">
        <v>0</v>
      </c>
      <c r="H345" s="44">
        <f>COUNTIF(C345:G345,1)</f>
        <v/>
      </c>
      <c r="I345" s="45">
        <f>H345/5</f>
        <v/>
      </c>
      <c r="J345" s="44" t="inlineStr"/>
    </row>
    <row r="346" ht="22" customHeight="1">
      <c r="A346" s="39" t="n">
        <v>46365</v>
      </c>
      <c r="B346" s="40" t="inlineStr">
        <is>
          <t>Wednesday</t>
        </is>
      </c>
      <c r="C346" s="41" t="n">
        <v>0</v>
      </c>
      <c r="D346" s="41" t="n">
        <v>0</v>
      </c>
      <c r="E346" s="41" t="n">
        <v>0</v>
      </c>
      <c r="F346" s="41" t="n">
        <v>0</v>
      </c>
      <c r="G346" s="41" t="n">
        <v>0</v>
      </c>
      <c r="H346" s="40">
        <f>COUNTIF(C346:G346,1)</f>
        <v/>
      </c>
      <c r="I346" s="42">
        <f>H346/5</f>
        <v/>
      </c>
      <c r="J346" s="40" t="inlineStr"/>
    </row>
    <row r="347" ht="22" customHeight="1">
      <c r="A347" s="43" t="n">
        <v>46366</v>
      </c>
      <c r="B347" s="44" t="inlineStr">
        <is>
          <t>Thursday</t>
        </is>
      </c>
      <c r="C347" s="41" t="n">
        <v>0</v>
      </c>
      <c r="D347" s="41" t="n">
        <v>0</v>
      </c>
      <c r="E347" s="41" t="n">
        <v>0</v>
      </c>
      <c r="F347" s="41" t="n">
        <v>0</v>
      </c>
      <c r="G347" s="41" t="n">
        <v>0</v>
      </c>
      <c r="H347" s="44">
        <f>COUNTIF(C347:G347,1)</f>
        <v/>
      </c>
      <c r="I347" s="45">
        <f>H347/5</f>
        <v/>
      </c>
      <c r="J347" s="44" t="inlineStr"/>
    </row>
    <row r="348" ht="22" customHeight="1">
      <c r="A348" s="39" t="n">
        <v>46367</v>
      </c>
      <c r="B348" s="40" t="inlineStr">
        <is>
          <t>Friday</t>
        </is>
      </c>
      <c r="C348" s="41" t="n">
        <v>0</v>
      </c>
      <c r="D348" s="41" t="n">
        <v>0</v>
      </c>
      <c r="E348" s="41" t="n">
        <v>0</v>
      </c>
      <c r="F348" s="41" t="n">
        <v>0</v>
      </c>
      <c r="G348" s="41" t="n">
        <v>0</v>
      </c>
      <c r="H348" s="40">
        <f>COUNTIF(C348:G348,1)</f>
        <v/>
      </c>
      <c r="I348" s="42">
        <f>H348/5</f>
        <v/>
      </c>
      <c r="J348" s="40" t="inlineStr"/>
    </row>
    <row r="349" ht="22" customHeight="1">
      <c r="A349" s="43" t="n">
        <v>46368</v>
      </c>
      <c r="B349" s="44" t="inlineStr">
        <is>
          <t>Saturday</t>
        </is>
      </c>
      <c r="C349" s="41" t="n">
        <v>0</v>
      </c>
      <c r="D349" s="41" t="n">
        <v>0</v>
      </c>
      <c r="E349" s="41" t="n">
        <v>0</v>
      </c>
      <c r="F349" s="41" t="n">
        <v>0</v>
      </c>
      <c r="G349" s="41" t="n">
        <v>0</v>
      </c>
      <c r="H349" s="44">
        <f>COUNTIF(C349:G349,1)</f>
        <v/>
      </c>
      <c r="I349" s="45">
        <f>H349/5</f>
        <v/>
      </c>
      <c r="J349" s="44" t="inlineStr"/>
    </row>
    <row r="350" ht="22" customHeight="1">
      <c r="A350" s="39" t="n">
        <v>46369</v>
      </c>
      <c r="B350" s="40" t="inlineStr">
        <is>
          <t>Sunday</t>
        </is>
      </c>
      <c r="C350" s="41" t="n">
        <v>0</v>
      </c>
      <c r="D350" s="41" t="n">
        <v>0</v>
      </c>
      <c r="E350" s="41" t="n">
        <v>0</v>
      </c>
      <c r="F350" s="41" t="n">
        <v>0</v>
      </c>
      <c r="G350" s="41" t="n">
        <v>0</v>
      </c>
      <c r="H350" s="40">
        <f>COUNTIF(C350:G350,1)</f>
        <v/>
      </c>
      <c r="I350" s="42">
        <f>H350/5</f>
        <v/>
      </c>
      <c r="J350" s="40" t="inlineStr"/>
    </row>
    <row r="351" ht="22" customHeight="1">
      <c r="A351" s="43" t="n">
        <v>46370</v>
      </c>
      <c r="B351" s="44" t="inlineStr">
        <is>
          <t>Monday</t>
        </is>
      </c>
      <c r="C351" s="41" t="n">
        <v>0</v>
      </c>
      <c r="D351" s="41" t="n">
        <v>0</v>
      </c>
      <c r="E351" s="41" t="n">
        <v>0</v>
      </c>
      <c r="F351" s="41" t="n">
        <v>0</v>
      </c>
      <c r="G351" s="41" t="n">
        <v>0</v>
      </c>
      <c r="H351" s="44">
        <f>COUNTIF(C351:G351,1)</f>
        <v/>
      </c>
      <c r="I351" s="45">
        <f>H351/5</f>
        <v/>
      </c>
      <c r="J351" s="44" t="inlineStr"/>
    </row>
    <row r="352" ht="22" customHeight="1">
      <c r="A352" s="39" t="n">
        <v>46371</v>
      </c>
      <c r="B352" s="40" t="inlineStr">
        <is>
          <t>Tuesday</t>
        </is>
      </c>
      <c r="C352" s="41" t="n">
        <v>0</v>
      </c>
      <c r="D352" s="41" t="n">
        <v>0</v>
      </c>
      <c r="E352" s="41" t="n">
        <v>0</v>
      </c>
      <c r="F352" s="41" t="n">
        <v>0</v>
      </c>
      <c r="G352" s="41" t="n">
        <v>0</v>
      </c>
      <c r="H352" s="40">
        <f>COUNTIF(C352:G352,1)</f>
        <v/>
      </c>
      <c r="I352" s="42">
        <f>H352/5</f>
        <v/>
      </c>
      <c r="J352" s="40" t="inlineStr"/>
    </row>
    <row r="353" ht="22" customHeight="1">
      <c r="A353" s="43" t="n">
        <v>46372</v>
      </c>
      <c r="B353" s="44" t="inlineStr">
        <is>
          <t>Wednesday</t>
        </is>
      </c>
      <c r="C353" s="41" t="n">
        <v>0</v>
      </c>
      <c r="D353" s="41" t="n">
        <v>0</v>
      </c>
      <c r="E353" s="41" t="n">
        <v>0</v>
      </c>
      <c r="F353" s="41" t="n">
        <v>0</v>
      </c>
      <c r="G353" s="41" t="n">
        <v>0</v>
      </c>
      <c r="H353" s="44">
        <f>COUNTIF(C353:G353,1)</f>
        <v/>
      </c>
      <c r="I353" s="45">
        <f>H353/5</f>
        <v/>
      </c>
      <c r="J353" s="44" t="inlineStr"/>
    </row>
    <row r="354" ht="22" customHeight="1">
      <c r="A354" s="39" t="n">
        <v>46373</v>
      </c>
      <c r="B354" s="40" t="inlineStr">
        <is>
          <t>Thursday</t>
        </is>
      </c>
      <c r="C354" s="41" t="n">
        <v>0</v>
      </c>
      <c r="D354" s="41" t="n">
        <v>0</v>
      </c>
      <c r="E354" s="41" t="n">
        <v>0</v>
      </c>
      <c r="F354" s="41" t="n">
        <v>0</v>
      </c>
      <c r="G354" s="41" t="n">
        <v>0</v>
      </c>
      <c r="H354" s="40">
        <f>COUNTIF(C354:G354,1)</f>
        <v/>
      </c>
      <c r="I354" s="42">
        <f>H354/5</f>
        <v/>
      </c>
      <c r="J354" s="40" t="inlineStr"/>
    </row>
    <row r="355" ht="22" customHeight="1">
      <c r="A355" s="43" t="n">
        <v>46374</v>
      </c>
      <c r="B355" s="44" t="inlineStr">
        <is>
          <t>Friday</t>
        </is>
      </c>
      <c r="C355" s="41" t="n">
        <v>0</v>
      </c>
      <c r="D355" s="41" t="n">
        <v>0</v>
      </c>
      <c r="E355" s="41" t="n">
        <v>0</v>
      </c>
      <c r="F355" s="41" t="n">
        <v>0</v>
      </c>
      <c r="G355" s="41" t="n">
        <v>0</v>
      </c>
      <c r="H355" s="44">
        <f>COUNTIF(C355:G355,1)</f>
        <v/>
      </c>
      <c r="I355" s="45">
        <f>H355/5</f>
        <v/>
      </c>
      <c r="J355" s="44" t="inlineStr"/>
    </row>
    <row r="356" ht="22" customHeight="1">
      <c r="A356" s="39" t="n">
        <v>46375</v>
      </c>
      <c r="B356" s="40" t="inlineStr">
        <is>
          <t>Saturday</t>
        </is>
      </c>
      <c r="C356" s="41" t="n">
        <v>0</v>
      </c>
      <c r="D356" s="41" t="n">
        <v>0</v>
      </c>
      <c r="E356" s="41" t="n">
        <v>0</v>
      </c>
      <c r="F356" s="41" t="n">
        <v>0</v>
      </c>
      <c r="G356" s="41" t="n">
        <v>0</v>
      </c>
      <c r="H356" s="40">
        <f>COUNTIF(C356:G356,1)</f>
        <v/>
      </c>
      <c r="I356" s="42">
        <f>H356/5</f>
        <v/>
      </c>
      <c r="J356" s="40" t="inlineStr"/>
    </row>
    <row r="357" ht="22" customHeight="1">
      <c r="A357" s="43" t="n">
        <v>46376</v>
      </c>
      <c r="B357" s="44" t="inlineStr">
        <is>
          <t>Sunday</t>
        </is>
      </c>
      <c r="C357" s="41" t="n">
        <v>0</v>
      </c>
      <c r="D357" s="41" t="n">
        <v>0</v>
      </c>
      <c r="E357" s="41" t="n">
        <v>0</v>
      </c>
      <c r="F357" s="41" t="n">
        <v>0</v>
      </c>
      <c r="G357" s="41" t="n">
        <v>0</v>
      </c>
      <c r="H357" s="44">
        <f>COUNTIF(C357:G357,1)</f>
        <v/>
      </c>
      <c r="I357" s="45">
        <f>H357/5</f>
        <v/>
      </c>
      <c r="J357" s="44" t="inlineStr"/>
    </row>
    <row r="358" ht="22" customHeight="1">
      <c r="A358" s="39" t="n">
        <v>46377</v>
      </c>
      <c r="B358" s="40" t="inlineStr">
        <is>
          <t>Monday</t>
        </is>
      </c>
      <c r="C358" s="41" t="n">
        <v>0</v>
      </c>
      <c r="D358" s="41" t="n">
        <v>0</v>
      </c>
      <c r="E358" s="41" t="n">
        <v>0</v>
      </c>
      <c r="F358" s="41" t="n">
        <v>0</v>
      </c>
      <c r="G358" s="41" t="n">
        <v>0</v>
      </c>
      <c r="H358" s="40">
        <f>COUNTIF(C358:G358,1)</f>
        <v/>
      </c>
      <c r="I358" s="42">
        <f>H358/5</f>
        <v/>
      </c>
      <c r="J358" s="40" t="inlineStr"/>
    </row>
    <row r="359" ht="22" customHeight="1">
      <c r="A359" s="43" t="n">
        <v>46378</v>
      </c>
      <c r="B359" s="44" t="inlineStr">
        <is>
          <t>Tuesday</t>
        </is>
      </c>
      <c r="C359" s="41" t="n">
        <v>0</v>
      </c>
      <c r="D359" s="41" t="n">
        <v>0</v>
      </c>
      <c r="E359" s="41" t="n">
        <v>0</v>
      </c>
      <c r="F359" s="41" t="n">
        <v>0</v>
      </c>
      <c r="G359" s="41" t="n">
        <v>0</v>
      </c>
      <c r="H359" s="44">
        <f>COUNTIF(C359:G359,1)</f>
        <v/>
      </c>
      <c r="I359" s="45">
        <f>H359/5</f>
        <v/>
      </c>
      <c r="J359" s="44" t="inlineStr"/>
    </row>
    <row r="360" ht="22" customHeight="1">
      <c r="A360" s="39" t="n">
        <v>46379</v>
      </c>
      <c r="B360" s="40" t="inlineStr">
        <is>
          <t>Wednesday</t>
        </is>
      </c>
      <c r="C360" s="41" t="n">
        <v>0</v>
      </c>
      <c r="D360" s="41" t="n">
        <v>0</v>
      </c>
      <c r="E360" s="41" t="n">
        <v>0</v>
      </c>
      <c r="F360" s="41" t="n">
        <v>0</v>
      </c>
      <c r="G360" s="41" t="n">
        <v>0</v>
      </c>
      <c r="H360" s="40">
        <f>COUNTIF(C360:G360,1)</f>
        <v/>
      </c>
      <c r="I360" s="42">
        <f>H360/5</f>
        <v/>
      </c>
      <c r="J360" s="40" t="inlineStr"/>
    </row>
    <row r="361" ht="22" customHeight="1">
      <c r="A361" s="43" t="n">
        <v>46380</v>
      </c>
      <c r="B361" s="44" t="inlineStr">
        <is>
          <t>Thursday</t>
        </is>
      </c>
      <c r="C361" s="41" t="n">
        <v>0</v>
      </c>
      <c r="D361" s="41" t="n">
        <v>0</v>
      </c>
      <c r="E361" s="41" t="n">
        <v>0</v>
      </c>
      <c r="F361" s="41" t="n">
        <v>0</v>
      </c>
      <c r="G361" s="41" t="n">
        <v>0</v>
      </c>
      <c r="H361" s="44">
        <f>COUNTIF(C361:G361,1)</f>
        <v/>
      </c>
      <c r="I361" s="45">
        <f>H361/5</f>
        <v/>
      </c>
      <c r="J361" s="44" t="inlineStr"/>
    </row>
    <row r="362" ht="22" customHeight="1">
      <c r="A362" s="39" t="n">
        <v>46381</v>
      </c>
      <c r="B362" s="40" t="inlineStr">
        <is>
          <t>Friday</t>
        </is>
      </c>
      <c r="C362" s="41" t="n">
        <v>0</v>
      </c>
      <c r="D362" s="41" t="n">
        <v>0</v>
      </c>
      <c r="E362" s="41" t="n">
        <v>0</v>
      </c>
      <c r="F362" s="41" t="n">
        <v>0</v>
      </c>
      <c r="G362" s="41" t="n">
        <v>0</v>
      </c>
      <c r="H362" s="40">
        <f>COUNTIF(C362:G362,1)</f>
        <v/>
      </c>
      <c r="I362" s="42">
        <f>H362/5</f>
        <v/>
      </c>
      <c r="J362" s="40" t="inlineStr"/>
    </row>
    <row r="363" ht="22" customHeight="1">
      <c r="A363" s="43" t="n">
        <v>46382</v>
      </c>
      <c r="B363" s="44" t="inlineStr">
        <is>
          <t>Saturday</t>
        </is>
      </c>
      <c r="C363" s="41" t="n">
        <v>0</v>
      </c>
      <c r="D363" s="41" t="n">
        <v>0</v>
      </c>
      <c r="E363" s="41" t="n">
        <v>0</v>
      </c>
      <c r="F363" s="41" t="n">
        <v>0</v>
      </c>
      <c r="G363" s="41" t="n">
        <v>0</v>
      </c>
      <c r="H363" s="44">
        <f>COUNTIF(C363:G363,1)</f>
        <v/>
      </c>
      <c r="I363" s="45">
        <f>H363/5</f>
        <v/>
      </c>
      <c r="J363" s="44" t="inlineStr"/>
    </row>
    <row r="364" ht="22" customHeight="1">
      <c r="A364" s="39" t="n">
        <v>46383</v>
      </c>
      <c r="B364" s="40" t="inlineStr">
        <is>
          <t>Sunday</t>
        </is>
      </c>
      <c r="C364" s="41" t="n">
        <v>0</v>
      </c>
      <c r="D364" s="41" t="n">
        <v>0</v>
      </c>
      <c r="E364" s="41" t="n">
        <v>0</v>
      </c>
      <c r="F364" s="41" t="n">
        <v>0</v>
      </c>
      <c r="G364" s="41" t="n">
        <v>0</v>
      </c>
      <c r="H364" s="40">
        <f>COUNTIF(C364:G364,1)</f>
        <v/>
      </c>
      <c r="I364" s="42">
        <f>H364/5</f>
        <v/>
      </c>
      <c r="J364" s="40" t="inlineStr"/>
    </row>
    <row r="365" ht="22" customHeight="1">
      <c r="A365" s="43" t="n">
        <v>46384</v>
      </c>
      <c r="B365" s="44" t="inlineStr">
        <is>
          <t>Monday</t>
        </is>
      </c>
      <c r="C365" s="41" t="n">
        <v>0</v>
      </c>
      <c r="D365" s="41" t="n">
        <v>0</v>
      </c>
      <c r="E365" s="41" t="n">
        <v>0</v>
      </c>
      <c r="F365" s="41" t="n">
        <v>0</v>
      </c>
      <c r="G365" s="41" t="n">
        <v>0</v>
      </c>
      <c r="H365" s="44">
        <f>COUNTIF(C365:G365,1)</f>
        <v/>
      </c>
      <c r="I365" s="45">
        <f>H365/5</f>
        <v/>
      </c>
      <c r="J365" s="44" t="inlineStr"/>
    </row>
    <row r="366" ht="22" customHeight="1">
      <c r="A366" s="39" t="n">
        <v>46385</v>
      </c>
      <c r="B366" s="40" t="inlineStr">
        <is>
          <t>Tuesday</t>
        </is>
      </c>
      <c r="C366" s="41" t="n">
        <v>0</v>
      </c>
      <c r="D366" s="41" t="n">
        <v>0</v>
      </c>
      <c r="E366" s="41" t="n">
        <v>0</v>
      </c>
      <c r="F366" s="41" t="n">
        <v>0</v>
      </c>
      <c r="G366" s="41" t="n">
        <v>0</v>
      </c>
      <c r="H366" s="40">
        <f>COUNTIF(C366:G366,1)</f>
        <v/>
      </c>
      <c r="I366" s="42">
        <f>H366/5</f>
        <v/>
      </c>
      <c r="J366" s="40" t="inlineStr"/>
    </row>
    <row r="367" ht="22" customHeight="1">
      <c r="A367" s="43" t="n">
        <v>46386</v>
      </c>
      <c r="B367" s="44" t="inlineStr">
        <is>
          <t>Wednesday</t>
        </is>
      </c>
      <c r="C367" s="41" t="n">
        <v>0</v>
      </c>
      <c r="D367" s="41" t="n">
        <v>0</v>
      </c>
      <c r="E367" s="41" t="n">
        <v>0</v>
      </c>
      <c r="F367" s="41" t="n">
        <v>0</v>
      </c>
      <c r="G367" s="41" t="n">
        <v>0</v>
      </c>
      <c r="H367" s="44">
        <f>COUNTIF(C367:G367,1)</f>
        <v/>
      </c>
      <c r="I367" s="45">
        <f>H367/5</f>
        <v/>
      </c>
      <c r="J367" s="44" t="inlineStr"/>
    </row>
    <row r="368" ht="22" customHeight="1">
      <c r="A368" s="39" t="n">
        <v>46387</v>
      </c>
      <c r="B368" s="40" t="inlineStr">
        <is>
          <t>Thursday</t>
        </is>
      </c>
      <c r="C368" s="41" t="n">
        <v>0</v>
      </c>
      <c r="D368" s="41" t="n">
        <v>0</v>
      </c>
      <c r="E368" s="41" t="n">
        <v>0</v>
      </c>
      <c r="F368" s="41" t="n">
        <v>0</v>
      </c>
      <c r="G368" s="41" t="n">
        <v>0</v>
      </c>
      <c r="H368" s="40">
        <f>COUNTIF(C368:G368,1)</f>
        <v/>
      </c>
      <c r="I368" s="42">
        <f>H368/5</f>
        <v/>
      </c>
      <c r="J368" s="40" t="inlineStr"/>
    </row>
  </sheetData>
  <autoFilter ref="A3:J368"/>
  <mergeCells count="2">
    <mergeCell ref="A1:J1"/>
    <mergeCell ref="A2:J2"/>
  </mergeCells>
  <conditionalFormatting sqref="C4:G368">
    <cfRule type="expression" priority="1" dxfId="0">
      <formula>C4=1</formula>
    </cfRule>
  </conditionalFormatting>
  <conditionalFormatting sqref="I4:I368">
    <cfRule type="cellIs" priority="2" operator="equal" dxfId="1">
      <formula>1</formula>
    </cfRule>
    <cfRule type="cellIs" priority="3" operator="greaterThanOrEqual" dxfId="2">
      <formula>0.6</formula>
    </cfRule>
    <cfRule type="cellIs" priority="4" operator="lessThan" dxfId="3">
      <formula>0.6</formula>
    </cfRule>
  </conditionalFormatting>
  <pageMargins left="0.75" right="0.75" top="1" bottom="1" header="0.5" footer="0.5"/>
  <extLst>
    <ext xmlns:x14="http://schemas.microsoft.com/office/spreadsheetml/2009/9/main" uri="{CCF9B9E7-4FED-4B87-89B2-7A4E5FC3597B}">
      <x14:dataValidations>
        <x14:dataValidation type="checkBox">
          <xm:sqref xmlns:xm="http://schemas.microsoft.com/office/excel/2006/main">C4:G368</xm:sqref>
        </x14:dataValidation>
      </x14:dataValidations>
    </ext>
  </extLst>
</worksheet>
</file>

<file path=xl/worksheets/sheet3.xml><?xml version="1.0" encoding="utf-8"?>
<worksheet xmlns="http://schemas.openxmlformats.org/spreadsheetml/2006/main">
  <sheetPr>
    <tabColor rgb="005C35A1"/>
    <outlinePr summaryBelow="1" summaryRight="1"/>
    <pageSetUpPr/>
  </sheetPr>
  <dimension ref="A1:I3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4" customWidth="1" min="4" max="4"/>
    <col width="22" customWidth="1" min="5" max="5"/>
    <col width="16" customWidth="1" min="6" max="6"/>
    <col width="15" customWidth="1" min="7" max="7"/>
    <col width="13" customWidth="1" min="8" max="8"/>
    <col width="25" customWidth="1" min="9" max="9"/>
  </cols>
  <sheetData>
    <row r="1" ht="32" customHeight="1">
      <c r="A1" s="46" t="inlineStr">
        <is>
          <t>💪  GYM ROUTINE TRACKER 2026</t>
        </is>
      </c>
    </row>
    <row r="2" ht="24" customHeight="1">
      <c r="A2" s="47" t="inlineStr">
        <is>
          <t>Mon/Tue/Wed/Fri/Sat = Grind Day  •  Thu/Sun = Rest Day  •  Tap Workout Done to check green — past missed Grind Days stay RED</t>
        </is>
      </c>
    </row>
    <row r="3" ht="28" customHeight="1">
      <c r="A3" s="6" t="inlineStr">
        <is>
          <t>Date</t>
        </is>
      </c>
      <c r="B3" s="6" t="inlineStr">
        <is>
          <t>Day</t>
        </is>
      </c>
      <c r="C3" s="6" t="inlineStr">
        <is>
          <t>Planned Type</t>
        </is>
      </c>
      <c r="D3" s="6" t="inlineStr">
        <is>
          <t>Workout Done</t>
        </is>
      </c>
      <c r="E3" s="6" t="inlineStr">
        <is>
          <t>Workout Name</t>
        </is>
      </c>
      <c r="F3" s="6" t="inlineStr">
        <is>
          <t>Body Part</t>
        </is>
      </c>
      <c r="G3" s="6" t="inlineStr">
        <is>
          <t>Duration (min)</t>
        </is>
      </c>
      <c r="H3" s="6" t="inlineStr">
        <is>
          <t>Intensity</t>
        </is>
      </c>
      <c r="I3" s="6" t="inlineStr">
        <is>
          <t>Notes</t>
        </is>
      </c>
    </row>
    <row r="4" ht="22" customHeight="1">
      <c r="A4" s="48" t="n">
        <v>46023</v>
      </c>
      <c r="B4" s="49" t="inlineStr">
        <is>
          <t>Thursday</t>
        </is>
      </c>
      <c r="C4" s="49" t="inlineStr">
        <is>
          <t>Rest Day</t>
        </is>
      </c>
      <c r="D4" s="49" t="n">
        <v>0</v>
      </c>
      <c r="E4" s="49" t="inlineStr"/>
      <c r="F4" s="49" t="inlineStr"/>
      <c r="G4" s="49" t="inlineStr"/>
      <c r="H4" s="49" t="inlineStr"/>
      <c r="I4" s="49" t="inlineStr"/>
    </row>
    <row r="5" ht="22" customHeight="1">
      <c r="A5" s="43" t="n">
        <v>46024</v>
      </c>
      <c r="B5" s="44" t="inlineStr">
        <is>
          <t>Friday</t>
        </is>
      </c>
      <c r="C5" s="44" t="inlineStr">
        <is>
          <t>Grind Day</t>
        </is>
      </c>
      <c r="D5" s="41" t="n">
        <v>0</v>
      </c>
      <c r="E5" s="44" t="inlineStr"/>
      <c r="F5" s="44" t="inlineStr"/>
      <c r="G5" s="44" t="inlineStr"/>
      <c r="H5" s="44" t="inlineStr"/>
      <c r="I5" s="44" t="inlineStr"/>
    </row>
    <row r="6" ht="22" customHeight="1">
      <c r="A6" s="39" t="n">
        <v>46025</v>
      </c>
      <c r="B6" s="40" t="inlineStr">
        <is>
          <t>Saturday</t>
        </is>
      </c>
      <c r="C6" s="40" t="inlineStr">
        <is>
          <t>Grind Day</t>
        </is>
      </c>
      <c r="D6" s="41" t="n">
        <v>0</v>
      </c>
      <c r="E6" s="40" t="inlineStr"/>
      <c r="F6" s="40" t="inlineStr"/>
      <c r="G6" s="40" t="inlineStr"/>
      <c r="H6" s="40" t="inlineStr"/>
      <c r="I6" s="40" t="inlineStr"/>
    </row>
    <row r="7" ht="22" customHeight="1">
      <c r="A7" s="48" t="n">
        <v>46026</v>
      </c>
      <c r="B7" s="49" t="inlineStr">
        <is>
          <t>Sunday</t>
        </is>
      </c>
      <c r="C7" s="49" t="inlineStr">
        <is>
          <t>Rest Day</t>
        </is>
      </c>
      <c r="D7" s="49" t="n">
        <v>0</v>
      </c>
      <c r="E7" s="49" t="inlineStr"/>
      <c r="F7" s="49" t="inlineStr"/>
      <c r="G7" s="49" t="inlineStr"/>
      <c r="H7" s="49" t="inlineStr"/>
      <c r="I7" s="49" t="inlineStr"/>
    </row>
    <row r="8" ht="22" customHeight="1">
      <c r="A8" s="39" t="n">
        <v>46027</v>
      </c>
      <c r="B8" s="40" t="inlineStr">
        <is>
          <t>Monday</t>
        </is>
      </c>
      <c r="C8" s="40" t="inlineStr">
        <is>
          <t>Grind Day</t>
        </is>
      </c>
      <c r="D8" s="41" t="n">
        <v>0</v>
      </c>
      <c r="E8" s="40" t="inlineStr"/>
      <c r="F8" s="40" t="inlineStr"/>
      <c r="G8" s="40" t="inlineStr"/>
      <c r="H8" s="40" t="inlineStr"/>
      <c r="I8" s="40" t="inlineStr"/>
    </row>
    <row r="9" ht="22" customHeight="1">
      <c r="A9" s="43" t="n">
        <v>46028</v>
      </c>
      <c r="B9" s="44" t="inlineStr">
        <is>
          <t>Tuesday</t>
        </is>
      </c>
      <c r="C9" s="44" t="inlineStr">
        <is>
          <t>Grind Day</t>
        </is>
      </c>
      <c r="D9" s="41" t="n">
        <v>0</v>
      </c>
      <c r="E9" s="44" t="inlineStr"/>
      <c r="F9" s="44" t="inlineStr"/>
      <c r="G9" s="44" t="inlineStr"/>
      <c r="H9" s="44" t="inlineStr"/>
      <c r="I9" s="44" t="inlineStr"/>
    </row>
    <row r="10" ht="22" customHeight="1">
      <c r="A10" s="39" t="n">
        <v>46029</v>
      </c>
      <c r="B10" s="40" t="inlineStr">
        <is>
          <t>Wednesday</t>
        </is>
      </c>
      <c r="C10" s="40" t="inlineStr">
        <is>
          <t>Grind Day</t>
        </is>
      </c>
      <c r="D10" s="41" t="n">
        <v>0</v>
      </c>
      <c r="E10" s="40" t="inlineStr"/>
      <c r="F10" s="40" t="inlineStr"/>
      <c r="G10" s="40" t="inlineStr"/>
      <c r="H10" s="40" t="inlineStr"/>
      <c r="I10" s="40" t="inlineStr"/>
    </row>
    <row r="11" ht="22" customHeight="1">
      <c r="A11" s="48" t="n">
        <v>46030</v>
      </c>
      <c r="B11" s="49" t="inlineStr">
        <is>
          <t>Thursday</t>
        </is>
      </c>
      <c r="C11" s="49" t="inlineStr">
        <is>
          <t>Rest Day</t>
        </is>
      </c>
      <c r="D11" s="49" t="n">
        <v>0</v>
      </c>
      <c r="E11" s="49" t="inlineStr"/>
      <c r="F11" s="49" t="inlineStr"/>
      <c r="G11" s="49" t="inlineStr"/>
      <c r="H11" s="49" t="inlineStr"/>
      <c r="I11" s="49" t="inlineStr"/>
    </row>
    <row r="12" ht="22" customHeight="1">
      <c r="A12" s="39" t="n">
        <v>46031</v>
      </c>
      <c r="B12" s="40" t="inlineStr">
        <is>
          <t>Friday</t>
        </is>
      </c>
      <c r="C12" s="40" t="inlineStr">
        <is>
          <t>Grind Day</t>
        </is>
      </c>
      <c r="D12" s="41" t="n">
        <v>0</v>
      </c>
      <c r="E12" s="40" t="inlineStr"/>
      <c r="F12" s="40" t="inlineStr"/>
      <c r="G12" s="40" t="inlineStr"/>
      <c r="H12" s="40" t="inlineStr"/>
      <c r="I12" s="40" t="inlineStr"/>
    </row>
    <row r="13" ht="22" customHeight="1">
      <c r="A13" s="43" t="n">
        <v>46032</v>
      </c>
      <c r="B13" s="44" t="inlineStr">
        <is>
          <t>Saturday</t>
        </is>
      </c>
      <c r="C13" s="44" t="inlineStr">
        <is>
          <t>Grind Day</t>
        </is>
      </c>
      <c r="D13" s="41" t="n">
        <v>0</v>
      </c>
      <c r="E13" s="44" t="inlineStr"/>
      <c r="F13" s="44" t="inlineStr"/>
      <c r="G13" s="44" t="inlineStr"/>
      <c r="H13" s="44" t="inlineStr"/>
      <c r="I13" s="44" t="inlineStr"/>
    </row>
    <row r="14" ht="22" customHeight="1">
      <c r="A14" s="48" t="n">
        <v>46033</v>
      </c>
      <c r="B14" s="49" t="inlineStr">
        <is>
          <t>Sunday</t>
        </is>
      </c>
      <c r="C14" s="49" t="inlineStr">
        <is>
          <t>Rest Day</t>
        </is>
      </c>
      <c r="D14" s="49" t="n">
        <v>0</v>
      </c>
      <c r="E14" s="49" t="inlineStr"/>
      <c r="F14" s="49" t="inlineStr"/>
      <c r="G14" s="49" t="inlineStr"/>
      <c r="H14" s="49" t="inlineStr"/>
      <c r="I14" s="49" t="inlineStr"/>
    </row>
    <row r="15" ht="22" customHeight="1">
      <c r="A15" s="43" t="n">
        <v>46034</v>
      </c>
      <c r="B15" s="44" t="inlineStr">
        <is>
          <t>Monday</t>
        </is>
      </c>
      <c r="C15" s="44" t="inlineStr">
        <is>
          <t>Grind Day</t>
        </is>
      </c>
      <c r="D15" s="41" t="n">
        <v>0</v>
      </c>
      <c r="E15" s="44" t="inlineStr"/>
      <c r="F15" s="44" t="inlineStr"/>
      <c r="G15" s="44" t="inlineStr"/>
      <c r="H15" s="44" t="inlineStr"/>
      <c r="I15" s="44" t="inlineStr"/>
    </row>
    <row r="16" ht="22" customHeight="1">
      <c r="A16" s="39" t="n">
        <v>46035</v>
      </c>
      <c r="B16" s="40" t="inlineStr">
        <is>
          <t>Tuesday</t>
        </is>
      </c>
      <c r="C16" s="40" t="inlineStr">
        <is>
          <t>Grind Day</t>
        </is>
      </c>
      <c r="D16" s="41" t="n">
        <v>0</v>
      </c>
      <c r="E16" s="40" t="inlineStr"/>
      <c r="F16" s="40" t="inlineStr"/>
      <c r="G16" s="40" t="inlineStr"/>
      <c r="H16" s="40" t="inlineStr"/>
      <c r="I16" s="40" t="inlineStr"/>
    </row>
    <row r="17" ht="22" customHeight="1">
      <c r="A17" s="43" t="n">
        <v>46036</v>
      </c>
      <c r="B17" s="44" t="inlineStr">
        <is>
          <t>Wednesday</t>
        </is>
      </c>
      <c r="C17" s="44" t="inlineStr">
        <is>
          <t>Grind Day</t>
        </is>
      </c>
      <c r="D17" s="41" t="n">
        <v>0</v>
      </c>
      <c r="E17" s="44" t="inlineStr"/>
      <c r="F17" s="44" t="inlineStr"/>
      <c r="G17" s="44" t="inlineStr"/>
      <c r="H17" s="44" t="inlineStr"/>
      <c r="I17" s="44" t="inlineStr"/>
    </row>
    <row r="18" ht="22" customHeight="1">
      <c r="A18" s="48" t="n">
        <v>46037</v>
      </c>
      <c r="B18" s="49" t="inlineStr">
        <is>
          <t>Thursday</t>
        </is>
      </c>
      <c r="C18" s="49" t="inlineStr">
        <is>
          <t>Rest Day</t>
        </is>
      </c>
      <c r="D18" s="49" t="n">
        <v>0</v>
      </c>
      <c r="E18" s="49" t="inlineStr"/>
      <c r="F18" s="49" t="inlineStr"/>
      <c r="G18" s="49" t="inlineStr"/>
      <c r="H18" s="49" t="inlineStr"/>
      <c r="I18" s="49" t="inlineStr"/>
    </row>
    <row r="19" ht="22" customHeight="1">
      <c r="A19" s="43" t="n">
        <v>46038</v>
      </c>
      <c r="B19" s="44" t="inlineStr">
        <is>
          <t>Friday</t>
        </is>
      </c>
      <c r="C19" s="44" t="inlineStr">
        <is>
          <t>Grind Day</t>
        </is>
      </c>
      <c r="D19" s="41" t="n">
        <v>0</v>
      </c>
      <c r="E19" s="44" t="inlineStr"/>
      <c r="F19" s="44" t="inlineStr"/>
      <c r="G19" s="44" t="inlineStr"/>
      <c r="H19" s="44" t="inlineStr"/>
      <c r="I19" s="44" t="inlineStr"/>
    </row>
    <row r="20" ht="22" customHeight="1">
      <c r="A20" s="39" t="n">
        <v>46039</v>
      </c>
      <c r="B20" s="40" t="inlineStr">
        <is>
          <t>Saturday</t>
        </is>
      </c>
      <c r="C20" s="40" t="inlineStr">
        <is>
          <t>Grind Day</t>
        </is>
      </c>
      <c r="D20" s="41" t="n">
        <v>0</v>
      </c>
      <c r="E20" s="40" t="inlineStr"/>
      <c r="F20" s="40" t="inlineStr"/>
      <c r="G20" s="40" t="inlineStr"/>
      <c r="H20" s="40" t="inlineStr"/>
      <c r="I20" s="40" t="inlineStr"/>
    </row>
    <row r="21" ht="22" customHeight="1">
      <c r="A21" s="48" t="n">
        <v>46040</v>
      </c>
      <c r="B21" s="49" t="inlineStr">
        <is>
          <t>Sunday</t>
        </is>
      </c>
      <c r="C21" s="49" t="inlineStr">
        <is>
          <t>Rest Day</t>
        </is>
      </c>
      <c r="D21" s="49" t="n">
        <v>0</v>
      </c>
      <c r="E21" s="49" t="inlineStr"/>
      <c r="F21" s="49" t="inlineStr"/>
      <c r="G21" s="49" t="inlineStr"/>
      <c r="H21" s="49" t="inlineStr"/>
      <c r="I21" s="49" t="inlineStr"/>
    </row>
    <row r="22" ht="22" customHeight="1">
      <c r="A22" s="39" t="n">
        <v>46041</v>
      </c>
      <c r="B22" s="40" t="inlineStr">
        <is>
          <t>Monday</t>
        </is>
      </c>
      <c r="C22" s="40" t="inlineStr">
        <is>
          <t>Grind Day</t>
        </is>
      </c>
      <c r="D22" s="41" t="n">
        <v>0</v>
      </c>
      <c r="E22" s="40" t="inlineStr"/>
      <c r="F22" s="40" t="inlineStr"/>
      <c r="G22" s="40" t="inlineStr"/>
      <c r="H22" s="40" t="inlineStr"/>
      <c r="I22" s="40" t="inlineStr"/>
    </row>
    <row r="23" ht="22" customHeight="1">
      <c r="A23" s="43" t="n">
        <v>46042</v>
      </c>
      <c r="B23" s="44" t="inlineStr">
        <is>
          <t>Tuesday</t>
        </is>
      </c>
      <c r="C23" s="44" t="inlineStr">
        <is>
          <t>Grind Day</t>
        </is>
      </c>
      <c r="D23" s="41" t="n">
        <v>0</v>
      </c>
      <c r="E23" s="44" t="inlineStr"/>
      <c r="F23" s="44" t="inlineStr"/>
      <c r="G23" s="44" t="inlineStr"/>
      <c r="H23" s="44" t="inlineStr"/>
      <c r="I23" s="44" t="inlineStr"/>
    </row>
    <row r="24" ht="22" customHeight="1">
      <c r="A24" s="39" t="n">
        <v>46043</v>
      </c>
      <c r="B24" s="40" t="inlineStr">
        <is>
          <t>Wednesday</t>
        </is>
      </c>
      <c r="C24" s="40" t="inlineStr">
        <is>
          <t>Grind Day</t>
        </is>
      </c>
      <c r="D24" s="41" t="n">
        <v>0</v>
      </c>
      <c r="E24" s="40" t="inlineStr"/>
      <c r="F24" s="40" t="inlineStr"/>
      <c r="G24" s="40" t="inlineStr"/>
      <c r="H24" s="40" t="inlineStr"/>
      <c r="I24" s="40" t="inlineStr"/>
    </row>
    <row r="25" ht="22" customHeight="1">
      <c r="A25" s="48" t="n">
        <v>46044</v>
      </c>
      <c r="B25" s="49" t="inlineStr">
        <is>
          <t>Thursday</t>
        </is>
      </c>
      <c r="C25" s="49" t="inlineStr">
        <is>
          <t>Rest Day</t>
        </is>
      </c>
      <c r="D25" s="49" t="n">
        <v>0</v>
      </c>
      <c r="E25" s="49" t="inlineStr"/>
      <c r="F25" s="49" t="inlineStr"/>
      <c r="G25" s="49" t="inlineStr"/>
      <c r="H25" s="49" t="inlineStr"/>
      <c r="I25" s="49" t="inlineStr"/>
    </row>
    <row r="26" ht="22" customHeight="1">
      <c r="A26" s="39" t="n">
        <v>46045</v>
      </c>
      <c r="B26" s="40" t="inlineStr">
        <is>
          <t>Friday</t>
        </is>
      </c>
      <c r="C26" s="40" t="inlineStr">
        <is>
          <t>Grind Day</t>
        </is>
      </c>
      <c r="D26" s="41" t="n">
        <v>0</v>
      </c>
      <c r="E26" s="40" t="inlineStr"/>
      <c r="F26" s="40" t="inlineStr"/>
      <c r="G26" s="40" t="inlineStr"/>
      <c r="H26" s="40" t="inlineStr"/>
      <c r="I26" s="40" t="inlineStr"/>
    </row>
    <row r="27" ht="22" customHeight="1">
      <c r="A27" s="43" t="n">
        <v>46046</v>
      </c>
      <c r="B27" s="44" t="inlineStr">
        <is>
          <t>Saturday</t>
        </is>
      </c>
      <c r="C27" s="44" t="inlineStr">
        <is>
          <t>Grind Day</t>
        </is>
      </c>
      <c r="D27" s="41" t="n">
        <v>0</v>
      </c>
      <c r="E27" s="44" t="inlineStr"/>
      <c r="F27" s="44" t="inlineStr"/>
      <c r="G27" s="44" t="inlineStr"/>
      <c r="H27" s="44" t="inlineStr"/>
      <c r="I27" s="44" t="inlineStr"/>
    </row>
    <row r="28" ht="22" customHeight="1">
      <c r="A28" s="48" t="n">
        <v>46047</v>
      </c>
      <c r="B28" s="49" t="inlineStr">
        <is>
          <t>Sunday</t>
        </is>
      </c>
      <c r="C28" s="49" t="inlineStr">
        <is>
          <t>Rest Day</t>
        </is>
      </c>
      <c r="D28" s="49" t="n">
        <v>0</v>
      </c>
      <c r="E28" s="49" t="inlineStr"/>
      <c r="F28" s="49" t="inlineStr"/>
      <c r="G28" s="49" t="inlineStr"/>
      <c r="H28" s="49" t="inlineStr"/>
      <c r="I28" s="49" t="inlineStr"/>
    </row>
    <row r="29" ht="22" customHeight="1">
      <c r="A29" s="43" t="n">
        <v>46048</v>
      </c>
      <c r="B29" s="44" t="inlineStr">
        <is>
          <t>Monday</t>
        </is>
      </c>
      <c r="C29" s="44" t="inlineStr">
        <is>
          <t>Grind Day</t>
        </is>
      </c>
      <c r="D29" s="41" t="n">
        <v>0</v>
      </c>
      <c r="E29" s="44" t="inlineStr"/>
      <c r="F29" s="44" t="inlineStr"/>
      <c r="G29" s="44" t="inlineStr"/>
      <c r="H29" s="44" t="inlineStr"/>
      <c r="I29" s="44" t="inlineStr"/>
    </row>
    <row r="30" ht="22" customHeight="1">
      <c r="A30" s="39" t="n">
        <v>46049</v>
      </c>
      <c r="B30" s="40" t="inlineStr">
        <is>
          <t>Tuesday</t>
        </is>
      </c>
      <c r="C30" s="40" t="inlineStr">
        <is>
          <t>Grind Day</t>
        </is>
      </c>
      <c r="D30" s="41" t="n">
        <v>0</v>
      </c>
      <c r="E30" s="40" t="inlineStr"/>
      <c r="F30" s="40" t="inlineStr"/>
      <c r="G30" s="40" t="inlineStr"/>
      <c r="H30" s="40" t="inlineStr"/>
      <c r="I30" s="40" t="inlineStr"/>
    </row>
    <row r="31" ht="22" customHeight="1">
      <c r="A31" s="43" t="n">
        <v>46050</v>
      </c>
      <c r="B31" s="44" t="inlineStr">
        <is>
          <t>Wednesday</t>
        </is>
      </c>
      <c r="C31" s="44" t="inlineStr">
        <is>
          <t>Grind Day</t>
        </is>
      </c>
      <c r="D31" s="41" t="n">
        <v>0</v>
      </c>
      <c r="E31" s="44" t="inlineStr"/>
      <c r="F31" s="44" t="inlineStr"/>
      <c r="G31" s="44" t="inlineStr"/>
      <c r="H31" s="44" t="inlineStr"/>
      <c r="I31" s="44" t="inlineStr"/>
    </row>
    <row r="32" ht="22" customHeight="1">
      <c r="A32" s="48" t="n">
        <v>46051</v>
      </c>
      <c r="B32" s="49" t="inlineStr">
        <is>
          <t>Thursday</t>
        </is>
      </c>
      <c r="C32" s="49" t="inlineStr">
        <is>
          <t>Rest Day</t>
        </is>
      </c>
      <c r="D32" s="49" t="n">
        <v>0</v>
      </c>
      <c r="E32" s="49" t="inlineStr"/>
      <c r="F32" s="49" t="inlineStr"/>
      <c r="G32" s="49" t="inlineStr"/>
      <c r="H32" s="49" t="inlineStr"/>
      <c r="I32" s="49" t="inlineStr"/>
    </row>
    <row r="33" ht="22" customHeight="1">
      <c r="A33" s="43" t="n">
        <v>46052</v>
      </c>
      <c r="B33" s="44" t="inlineStr">
        <is>
          <t>Friday</t>
        </is>
      </c>
      <c r="C33" s="44" t="inlineStr">
        <is>
          <t>Grind Day</t>
        </is>
      </c>
      <c r="D33" s="41" t="n">
        <v>0</v>
      </c>
      <c r="E33" s="44" t="inlineStr"/>
      <c r="F33" s="44" t="inlineStr"/>
      <c r="G33" s="44" t="inlineStr"/>
      <c r="H33" s="44" t="inlineStr"/>
      <c r="I33" s="44" t="inlineStr"/>
    </row>
    <row r="34" ht="22" customHeight="1">
      <c r="A34" s="39" t="n">
        <v>46053</v>
      </c>
      <c r="B34" s="40" t="inlineStr">
        <is>
          <t>Saturday</t>
        </is>
      </c>
      <c r="C34" s="40" t="inlineStr">
        <is>
          <t>Grind Day</t>
        </is>
      </c>
      <c r="D34" s="41" t="n">
        <v>0</v>
      </c>
      <c r="E34" s="40" t="inlineStr"/>
      <c r="F34" s="40" t="inlineStr"/>
      <c r="G34" s="40" t="inlineStr"/>
      <c r="H34" s="40" t="inlineStr"/>
      <c r="I34" s="40" t="inlineStr"/>
    </row>
    <row r="35" ht="22" customHeight="1">
      <c r="A35" s="48" t="n">
        <v>46054</v>
      </c>
      <c r="B35" s="49" t="inlineStr">
        <is>
          <t>Sunday</t>
        </is>
      </c>
      <c r="C35" s="49" t="inlineStr">
        <is>
          <t>Rest Day</t>
        </is>
      </c>
      <c r="D35" s="49" t="n">
        <v>0</v>
      </c>
      <c r="E35" s="49" t="inlineStr"/>
      <c r="F35" s="49" t="inlineStr"/>
      <c r="G35" s="49" t="inlineStr"/>
      <c r="H35" s="49" t="inlineStr"/>
      <c r="I35" s="49" t="inlineStr"/>
    </row>
    <row r="36" ht="22" customHeight="1">
      <c r="A36" s="39" t="n">
        <v>46055</v>
      </c>
      <c r="B36" s="40" t="inlineStr">
        <is>
          <t>Monday</t>
        </is>
      </c>
      <c r="C36" s="40" t="inlineStr">
        <is>
          <t>Grind Day</t>
        </is>
      </c>
      <c r="D36" s="41" t="n">
        <v>0</v>
      </c>
      <c r="E36" s="40" t="inlineStr"/>
      <c r="F36" s="40" t="inlineStr"/>
      <c r="G36" s="40" t="inlineStr"/>
      <c r="H36" s="40" t="inlineStr"/>
      <c r="I36" s="40" t="inlineStr"/>
    </row>
    <row r="37" ht="22" customHeight="1">
      <c r="A37" s="43" t="n">
        <v>46056</v>
      </c>
      <c r="B37" s="44" t="inlineStr">
        <is>
          <t>Tuesday</t>
        </is>
      </c>
      <c r="C37" s="44" t="inlineStr">
        <is>
          <t>Grind Day</t>
        </is>
      </c>
      <c r="D37" s="41" t="n">
        <v>0</v>
      </c>
      <c r="E37" s="44" t="inlineStr"/>
      <c r="F37" s="44" t="inlineStr"/>
      <c r="G37" s="44" t="inlineStr"/>
      <c r="H37" s="44" t="inlineStr"/>
      <c r="I37" s="44" t="inlineStr"/>
    </row>
    <row r="38" ht="22" customHeight="1">
      <c r="A38" s="39" t="n">
        <v>46057</v>
      </c>
      <c r="B38" s="40" t="inlineStr">
        <is>
          <t>Wednesday</t>
        </is>
      </c>
      <c r="C38" s="40" t="inlineStr">
        <is>
          <t>Grind Day</t>
        </is>
      </c>
      <c r="D38" s="41" t="n">
        <v>0</v>
      </c>
      <c r="E38" s="40" t="inlineStr"/>
      <c r="F38" s="40" t="inlineStr"/>
      <c r="G38" s="40" t="inlineStr"/>
      <c r="H38" s="40" t="inlineStr"/>
      <c r="I38" s="40" t="inlineStr"/>
    </row>
    <row r="39" ht="22" customHeight="1">
      <c r="A39" s="48" t="n">
        <v>46058</v>
      </c>
      <c r="B39" s="49" t="inlineStr">
        <is>
          <t>Thursday</t>
        </is>
      </c>
      <c r="C39" s="49" t="inlineStr">
        <is>
          <t>Rest Day</t>
        </is>
      </c>
      <c r="D39" s="49" t="n">
        <v>0</v>
      </c>
      <c r="E39" s="49" t="inlineStr"/>
      <c r="F39" s="49" t="inlineStr"/>
      <c r="G39" s="49" t="inlineStr"/>
      <c r="H39" s="49" t="inlineStr"/>
      <c r="I39" s="49" t="inlineStr"/>
    </row>
    <row r="40" ht="22" customHeight="1">
      <c r="A40" s="39" t="n">
        <v>46059</v>
      </c>
      <c r="B40" s="40" t="inlineStr">
        <is>
          <t>Friday</t>
        </is>
      </c>
      <c r="C40" s="40" t="inlineStr">
        <is>
          <t>Grind Day</t>
        </is>
      </c>
      <c r="D40" s="41" t="n">
        <v>0</v>
      </c>
      <c r="E40" s="40" t="inlineStr"/>
      <c r="F40" s="40" t="inlineStr"/>
      <c r="G40" s="40" t="inlineStr"/>
      <c r="H40" s="40" t="inlineStr"/>
      <c r="I40" s="40" t="inlineStr"/>
    </row>
    <row r="41" ht="22" customHeight="1">
      <c r="A41" s="43" t="n">
        <v>46060</v>
      </c>
      <c r="B41" s="44" t="inlineStr">
        <is>
          <t>Saturday</t>
        </is>
      </c>
      <c r="C41" s="44" t="inlineStr">
        <is>
          <t>Grind Day</t>
        </is>
      </c>
      <c r="D41" s="41" t="n">
        <v>0</v>
      </c>
      <c r="E41" s="44" t="inlineStr"/>
      <c r="F41" s="44" t="inlineStr"/>
      <c r="G41" s="44" t="inlineStr"/>
      <c r="H41" s="44" t="inlineStr"/>
      <c r="I41" s="44" t="inlineStr"/>
    </row>
    <row r="42" ht="22" customHeight="1">
      <c r="A42" s="48" t="n">
        <v>46061</v>
      </c>
      <c r="B42" s="49" t="inlineStr">
        <is>
          <t>Sunday</t>
        </is>
      </c>
      <c r="C42" s="49" t="inlineStr">
        <is>
          <t>Rest Day</t>
        </is>
      </c>
      <c r="D42" s="49" t="n">
        <v>0</v>
      </c>
      <c r="E42" s="49" t="inlineStr"/>
      <c r="F42" s="49" t="inlineStr"/>
      <c r="G42" s="49" t="inlineStr"/>
      <c r="H42" s="49" t="inlineStr"/>
      <c r="I42" s="49" t="inlineStr"/>
    </row>
    <row r="43" ht="22" customHeight="1">
      <c r="A43" s="43" t="n">
        <v>46062</v>
      </c>
      <c r="B43" s="44" t="inlineStr">
        <is>
          <t>Monday</t>
        </is>
      </c>
      <c r="C43" s="44" t="inlineStr">
        <is>
          <t>Grind Day</t>
        </is>
      </c>
      <c r="D43" s="41" t="n">
        <v>0</v>
      </c>
      <c r="E43" s="44" t="inlineStr"/>
      <c r="F43" s="44" t="inlineStr"/>
      <c r="G43" s="44" t="inlineStr"/>
      <c r="H43" s="44" t="inlineStr"/>
      <c r="I43" s="44" t="inlineStr"/>
    </row>
    <row r="44" ht="22" customHeight="1">
      <c r="A44" s="39" t="n">
        <v>46063</v>
      </c>
      <c r="B44" s="40" t="inlineStr">
        <is>
          <t>Tuesday</t>
        </is>
      </c>
      <c r="C44" s="40" t="inlineStr">
        <is>
          <t>Grind Day</t>
        </is>
      </c>
      <c r="D44" s="41" t="n">
        <v>0</v>
      </c>
      <c r="E44" s="40" t="inlineStr"/>
      <c r="F44" s="40" t="inlineStr"/>
      <c r="G44" s="40" t="inlineStr"/>
      <c r="H44" s="40" t="inlineStr"/>
      <c r="I44" s="40" t="inlineStr"/>
    </row>
    <row r="45" ht="22" customHeight="1">
      <c r="A45" s="43" t="n">
        <v>46064</v>
      </c>
      <c r="B45" s="44" t="inlineStr">
        <is>
          <t>Wednesday</t>
        </is>
      </c>
      <c r="C45" s="44" t="inlineStr">
        <is>
          <t>Grind Day</t>
        </is>
      </c>
      <c r="D45" s="41" t="n">
        <v>0</v>
      </c>
      <c r="E45" s="44" t="inlineStr"/>
      <c r="F45" s="44" t="inlineStr"/>
      <c r="G45" s="44" t="inlineStr"/>
      <c r="H45" s="44" t="inlineStr"/>
      <c r="I45" s="44" t="inlineStr"/>
    </row>
    <row r="46" ht="22" customHeight="1">
      <c r="A46" s="48" t="n">
        <v>46065</v>
      </c>
      <c r="B46" s="49" t="inlineStr">
        <is>
          <t>Thursday</t>
        </is>
      </c>
      <c r="C46" s="49" t="inlineStr">
        <is>
          <t>Rest Day</t>
        </is>
      </c>
      <c r="D46" s="49" t="n">
        <v>0</v>
      </c>
      <c r="E46" s="49" t="inlineStr"/>
      <c r="F46" s="49" t="inlineStr"/>
      <c r="G46" s="49" t="inlineStr"/>
      <c r="H46" s="49" t="inlineStr"/>
      <c r="I46" s="49" t="inlineStr"/>
    </row>
    <row r="47" ht="22" customHeight="1">
      <c r="A47" s="43" t="n">
        <v>46066</v>
      </c>
      <c r="B47" s="44" t="inlineStr">
        <is>
          <t>Friday</t>
        </is>
      </c>
      <c r="C47" s="44" t="inlineStr">
        <is>
          <t>Grind Day</t>
        </is>
      </c>
      <c r="D47" s="41" t="n">
        <v>0</v>
      </c>
      <c r="E47" s="44" t="inlineStr"/>
      <c r="F47" s="44" t="inlineStr"/>
      <c r="G47" s="44" t="inlineStr"/>
      <c r="H47" s="44" t="inlineStr"/>
      <c r="I47" s="44" t="inlineStr"/>
    </row>
    <row r="48" ht="22" customHeight="1">
      <c r="A48" s="39" t="n">
        <v>46067</v>
      </c>
      <c r="B48" s="40" t="inlineStr">
        <is>
          <t>Saturday</t>
        </is>
      </c>
      <c r="C48" s="40" t="inlineStr">
        <is>
          <t>Grind Day</t>
        </is>
      </c>
      <c r="D48" s="41" t="n">
        <v>0</v>
      </c>
      <c r="E48" s="40" t="inlineStr"/>
      <c r="F48" s="40" t="inlineStr"/>
      <c r="G48" s="40" t="inlineStr"/>
      <c r="H48" s="40" t="inlineStr"/>
      <c r="I48" s="40" t="inlineStr"/>
    </row>
    <row r="49" ht="22" customHeight="1">
      <c r="A49" s="48" t="n">
        <v>46068</v>
      </c>
      <c r="B49" s="49" t="inlineStr">
        <is>
          <t>Sunday</t>
        </is>
      </c>
      <c r="C49" s="49" t="inlineStr">
        <is>
          <t>Rest Day</t>
        </is>
      </c>
      <c r="D49" s="49" t="n">
        <v>0</v>
      </c>
      <c r="E49" s="49" t="inlineStr"/>
      <c r="F49" s="49" t="inlineStr"/>
      <c r="G49" s="49" t="inlineStr"/>
      <c r="H49" s="49" t="inlineStr"/>
      <c r="I49" s="49" t="inlineStr"/>
    </row>
    <row r="50" ht="22" customHeight="1">
      <c r="A50" s="39" t="n">
        <v>46069</v>
      </c>
      <c r="B50" s="40" t="inlineStr">
        <is>
          <t>Monday</t>
        </is>
      </c>
      <c r="C50" s="40" t="inlineStr">
        <is>
          <t>Grind Day</t>
        </is>
      </c>
      <c r="D50" s="41" t="n">
        <v>0</v>
      </c>
      <c r="E50" s="40" t="inlineStr"/>
      <c r="F50" s="40" t="inlineStr"/>
      <c r="G50" s="40" t="inlineStr"/>
      <c r="H50" s="40" t="inlineStr"/>
      <c r="I50" s="40" t="inlineStr"/>
    </row>
    <row r="51" ht="22" customHeight="1">
      <c r="A51" s="43" t="n">
        <v>46070</v>
      </c>
      <c r="B51" s="44" t="inlineStr">
        <is>
          <t>Tuesday</t>
        </is>
      </c>
      <c r="C51" s="44" t="inlineStr">
        <is>
          <t>Grind Day</t>
        </is>
      </c>
      <c r="D51" s="41" t="n">
        <v>0</v>
      </c>
      <c r="E51" s="44" t="inlineStr"/>
      <c r="F51" s="44" t="inlineStr"/>
      <c r="G51" s="44" t="inlineStr"/>
      <c r="H51" s="44" t="inlineStr"/>
      <c r="I51" s="44" t="inlineStr"/>
    </row>
    <row r="52" ht="22" customHeight="1">
      <c r="A52" s="39" t="n">
        <v>46071</v>
      </c>
      <c r="B52" s="40" t="inlineStr">
        <is>
          <t>Wednesday</t>
        </is>
      </c>
      <c r="C52" s="40" t="inlineStr">
        <is>
          <t>Grind Day</t>
        </is>
      </c>
      <c r="D52" s="41" t="n">
        <v>0</v>
      </c>
      <c r="E52" s="40" t="inlineStr"/>
      <c r="F52" s="40" t="inlineStr"/>
      <c r="G52" s="40" t="inlineStr"/>
      <c r="H52" s="40" t="inlineStr"/>
      <c r="I52" s="40" t="inlineStr"/>
    </row>
    <row r="53" ht="22" customHeight="1">
      <c r="A53" s="48" t="n">
        <v>46072</v>
      </c>
      <c r="B53" s="49" t="inlineStr">
        <is>
          <t>Thursday</t>
        </is>
      </c>
      <c r="C53" s="49" t="inlineStr">
        <is>
          <t>Rest Day</t>
        </is>
      </c>
      <c r="D53" s="49" t="n">
        <v>0</v>
      </c>
      <c r="E53" s="49" t="inlineStr"/>
      <c r="F53" s="49" t="inlineStr"/>
      <c r="G53" s="49" t="inlineStr"/>
      <c r="H53" s="49" t="inlineStr"/>
      <c r="I53" s="49" t="inlineStr"/>
    </row>
    <row r="54" ht="22" customHeight="1">
      <c r="A54" s="39" t="n">
        <v>46073</v>
      </c>
      <c r="B54" s="40" t="inlineStr">
        <is>
          <t>Friday</t>
        </is>
      </c>
      <c r="C54" s="40" t="inlineStr">
        <is>
          <t>Grind Day</t>
        </is>
      </c>
      <c r="D54" s="41" t="n">
        <v>0</v>
      </c>
      <c r="E54" s="40" t="inlineStr"/>
      <c r="F54" s="40" t="inlineStr"/>
      <c r="G54" s="40" t="inlineStr"/>
      <c r="H54" s="40" t="inlineStr"/>
      <c r="I54" s="40" t="inlineStr"/>
    </row>
    <row r="55" ht="22" customHeight="1">
      <c r="A55" s="43" t="n">
        <v>46074</v>
      </c>
      <c r="B55" s="44" t="inlineStr">
        <is>
          <t>Saturday</t>
        </is>
      </c>
      <c r="C55" s="44" t="inlineStr">
        <is>
          <t>Grind Day</t>
        </is>
      </c>
      <c r="D55" s="41" t="n">
        <v>0</v>
      </c>
      <c r="E55" s="44" t="inlineStr"/>
      <c r="F55" s="44" t="inlineStr"/>
      <c r="G55" s="44" t="inlineStr"/>
      <c r="H55" s="44" t="inlineStr"/>
      <c r="I55" s="44" t="inlineStr"/>
    </row>
    <row r="56" ht="22" customHeight="1">
      <c r="A56" s="48" t="n">
        <v>46075</v>
      </c>
      <c r="B56" s="49" t="inlineStr">
        <is>
          <t>Sunday</t>
        </is>
      </c>
      <c r="C56" s="49" t="inlineStr">
        <is>
          <t>Rest Day</t>
        </is>
      </c>
      <c r="D56" s="49" t="n">
        <v>0</v>
      </c>
      <c r="E56" s="49" t="inlineStr"/>
      <c r="F56" s="49" t="inlineStr"/>
      <c r="G56" s="49" t="inlineStr"/>
      <c r="H56" s="49" t="inlineStr"/>
      <c r="I56" s="49" t="inlineStr"/>
    </row>
    <row r="57" ht="22" customHeight="1">
      <c r="A57" s="43" t="n">
        <v>46076</v>
      </c>
      <c r="B57" s="44" t="inlineStr">
        <is>
          <t>Monday</t>
        </is>
      </c>
      <c r="C57" s="44" t="inlineStr">
        <is>
          <t>Grind Day</t>
        </is>
      </c>
      <c r="D57" s="41" t="n">
        <v>0</v>
      </c>
      <c r="E57" s="44" t="inlineStr"/>
      <c r="F57" s="44" t="inlineStr"/>
      <c r="G57" s="44" t="inlineStr"/>
      <c r="H57" s="44" t="inlineStr"/>
      <c r="I57" s="44" t="inlineStr"/>
    </row>
    <row r="58" ht="22" customHeight="1">
      <c r="A58" s="39" t="n">
        <v>46077</v>
      </c>
      <c r="B58" s="40" t="inlineStr">
        <is>
          <t>Tuesday</t>
        </is>
      </c>
      <c r="C58" s="40" t="inlineStr">
        <is>
          <t>Grind Day</t>
        </is>
      </c>
      <c r="D58" s="41" t="n">
        <v>0</v>
      </c>
      <c r="E58" s="40" t="inlineStr"/>
      <c r="F58" s="40" t="inlineStr"/>
      <c r="G58" s="40" t="inlineStr"/>
      <c r="H58" s="40" t="inlineStr"/>
      <c r="I58" s="40" t="inlineStr"/>
    </row>
    <row r="59" ht="22" customHeight="1">
      <c r="A59" s="43" t="n">
        <v>46078</v>
      </c>
      <c r="B59" s="44" t="inlineStr">
        <is>
          <t>Wednesday</t>
        </is>
      </c>
      <c r="C59" s="44" t="inlineStr">
        <is>
          <t>Grind Day</t>
        </is>
      </c>
      <c r="D59" s="41" t="n">
        <v>0</v>
      </c>
      <c r="E59" s="44" t="inlineStr"/>
      <c r="F59" s="44" t="inlineStr"/>
      <c r="G59" s="44" t="inlineStr"/>
      <c r="H59" s="44" t="inlineStr"/>
      <c r="I59" s="44" t="inlineStr"/>
    </row>
    <row r="60" ht="22" customHeight="1">
      <c r="A60" s="48" t="n">
        <v>46079</v>
      </c>
      <c r="B60" s="49" t="inlineStr">
        <is>
          <t>Thursday</t>
        </is>
      </c>
      <c r="C60" s="49" t="inlineStr">
        <is>
          <t>Rest Day</t>
        </is>
      </c>
      <c r="D60" s="49" t="n">
        <v>0</v>
      </c>
      <c r="E60" s="49" t="inlineStr"/>
      <c r="F60" s="49" t="inlineStr"/>
      <c r="G60" s="49" t="inlineStr"/>
      <c r="H60" s="49" t="inlineStr"/>
      <c r="I60" s="49" t="inlineStr"/>
    </row>
    <row r="61" ht="22" customHeight="1">
      <c r="A61" s="43" t="n">
        <v>46080</v>
      </c>
      <c r="B61" s="44" t="inlineStr">
        <is>
          <t>Friday</t>
        </is>
      </c>
      <c r="C61" s="44" t="inlineStr">
        <is>
          <t>Grind Day</t>
        </is>
      </c>
      <c r="D61" s="41" t="n">
        <v>0</v>
      </c>
      <c r="E61" s="44" t="inlineStr"/>
      <c r="F61" s="44" t="inlineStr"/>
      <c r="G61" s="44" t="inlineStr"/>
      <c r="H61" s="44" t="inlineStr"/>
      <c r="I61" s="44" t="inlineStr"/>
    </row>
    <row r="62" ht="22" customHeight="1">
      <c r="A62" s="39" t="n">
        <v>46081</v>
      </c>
      <c r="B62" s="40" t="inlineStr">
        <is>
          <t>Saturday</t>
        </is>
      </c>
      <c r="C62" s="40" t="inlineStr">
        <is>
          <t>Grind Day</t>
        </is>
      </c>
      <c r="D62" s="41" t="n">
        <v>0</v>
      </c>
      <c r="E62" s="40" t="inlineStr"/>
      <c r="F62" s="40" t="inlineStr"/>
      <c r="G62" s="40" t="inlineStr"/>
      <c r="H62" s="40" t="inlineStr"/>
      <c r="I62" s="40" t="inlineStr"/>
    </row>
    <row r="63" ht="22" customHeight="1">
      <c r="A63" s="48" t="n">
        <v>46082</v>
      </c>
      <c r="B63" s="49" t="inlineStr">
        <is>
          <t>Sunday</t>
        </is>
      </c>
      <c r="C63" s="49" t="inlineStr">
        <is>
          <t>Rest Day</t>
        </is>
      </c>
      <c r="D63" s="49" t="n">
        <v>0</v>
      </c>
      <c r="E63" s="49" t="inlineStr"/>
      <c r="F63" s="49" t="inlineStr"/>
      <c r="G63" s="49" t="inlineStr"/>
      <c r="H63" s="49" t="inlineStr"/>
      <c r="I63" s="49" t="inlineStr"/>
    </row>
    <row r="64" ht="22" customHeight="1">
      <c r="A64" s="39" t="n">
        <v>46083</v>
      </c>
      <c r="B64" s="40" t="inlineStr">
        <is>
          <t>Monday</t>
        </is>
      </c>
      <c r="C64" s="40" t="inlineStr">
        <is>
          <t>Grind Day</t>
        </is>
      </c>
      <c r="D64" s="41" t="n">
        <v>0</v>
      </c>
      <c r="E64" s="40" t="inlineStr"/>
      <c r="F64" s="40" t="inlineStr"/>
      <c r="G64" s="40" t="inlineStr"/>
      <c r="H64" s="40" t="inlineStr"/>
      <c r="I64" s="40" t="inlineStr"/>
    </row>
    <row r="65" ht="22" customHeight="1">
      <c r="A65" s="43" t="n">
        <v>46084</v>
      </c>
      <c r="B65" s="44" t="inlineStr">
        <is>
          <t>Tuesday</t>
        </is>
      </c>
      <c r="C65" s="44" t="inlineStr">
        <is>
          <t>Grind Day</t>
        </is>
      </c>
      <c r="D65" s="41" t="n">
        <v>0</v>
      </c>
      <c r="E65" s="44" t="inlineStr"/>
      <c r="F65" s="44" t="inlineStr"/>
      <c r="G65" s="44" t="inlineStr"/>
      <c r="H65" s="44" t="inlineStr"/>
      <c r="I65" s="44" t="inlineStr"/>
    </row>
    <row r="66" ht="22" customHeight="1">
      <c r="A66" s="39" t="n">
        <v>46085</v>
      </c>
      <c r="B66" s="40" t="inlineStr">
        <is>
          <t>Wednesday</t>
        </is>
      </c>
      <c r="C66" s="40" t="inlineStr">
        <is>
          <t>Grind Day</t>
        </is>
      </c>
      <c r="D66" s="41" t="n">
        <v>0</v>
      </c>
      <c r="E66" s="40" t="inlineStr"/>
      <c r="F66" s="40" t="inlineStr"/>
      <c r="G66" s="40" t="inlineStr"/>
      <c r="H66" s="40" t="inlineStr"/>
      <c r="I66" s="40" t="inlineStr"/>
    </row>
    <row r="67" ht="22" customHeight="1">
      <c r="A67" s="48" t="n">
        <v>46086</v>
      </c>
      <c r="B67" s="49" t="inlineStr">
        <is>
          <t>Thursday</t>
        </is>
      </c>
      <c r="C67" s="49" t="inlineStr">
        <is>
          <t>Rest Day</t>
        </is>
      </c>
      <c r="D67" s="49" t="n">
        <v>0</v>
      </c>
      <c r="E67" s="49" t="inlineStr"/>
      <c r="F67" s="49" t="inlineStr"/>
      <c r="G67" s="49" t="inlineStr"/>
      <c r="H67" s="49" t="inlineStr"/>
      <c r="I67" s="49" t="inlineStr"/>
    </row>
    <row r="68" ht="22" customHeight="1">
      <c r="A68" s="39" t="n">
        <v>46087</v>
      </c>
      <c r="B68" s="40" t="inlineStr">
        <is>
          <t>Friday</t>
        </is>
      </c>
      <c r="C68" s="40" t="inlineStr">
        <is>
          <t>Grind Day</t>
        </is>
      </c>
      <c r="D68" s="41" t="n">
        <v>0</v>
      </c>
      <c r="E68" s="40" t="inlineStr"/>
      <c r="F68" s="40" t="inlineStr"/>
      <c r="G68" s="40" t="inlineStr"/>
      <c r="H68" s="40" t="inlineStr"/>
      <c r="I68" s="40" t="inlineStr"/>
    </row>
    <row r="69" ht="22" customHeight="1">
      <c r="A69" s="43" t="n">
        <v>46088</v>
      </c>
      <c r="B69" s="44" t="inlineStr">
        <is>
          <t>Saturday</t>
        </is>
      </c>
      <c r="C69" s="44" t="inlineStr">
        <is>
          <t>Grind Day</t>
        </is>
      </c>
      <c r="D69" s="41" t="n">
        <v>0</v>
      </c>
      <c r="E69" s="44" t="inlineStr"/>
      <c r="F69" s="44" t="inlineStr"/>
      <c r="G69" s="44" t="inlineStr"/>
      <c r="H69" s="44" t="inlineStr"/>
      <c r="I69" s="44" t="inlineStr"/>
    </row>
    <row r="70" ht="22" customHeight="1">
      <c r="A70" s="48" t="n">
        <v>46089</v>
      </c>
      <c r="B70" s="49" t="inlineStr">
        <is>
          <t>Sunday</t>
        </is>
      </c>
      <c r="C70" s="49" t="inlineStr">
        <is>
          <t>Rest Day</t>
        </is>
      </c>
      <c r="D70" s="49" t="n">
        <v>0</v>
      </c>
      <c r="E70" s="49" t="inlineStr"/>
      <c r="F70" s="49" t="inlineStr"/>
      <c r="G70" s="49" t="inlineStr"/>
      <c r="H70" s="49" t="inlineStr"/>
      <c r="I70" s="49" t="inlineStr"/>
    </row>
    <row r="71" ht="22" customHeight="1">
      <c r="A71" s="43" t="n">
        <v>46090</v>
      </c>
      <c r="B71" s="44" t="inlineStr">
        <is>
          <t>Monday</t>
        </is>
      </c>
      <c r="C71" s="44" t="inlineStr">
        <is>
          <t>Grind Day</t>
        </is>
      </c>
      <c r="D71" s="41" t="n">
        <v>0</v>
      </c>
      <c r="E71" s="44" t="inlineStr"/>
      <c r="F71" s="44" t="inlineStr"/>
      <c r="G71" s="44" t="inlineStr"/>
      <c r="H71" s="44" t="inlineStr"/>
      <c r="I71" s="44" t="inlineStr"/>
    </row>
    <row r="72" ht="22" customHeight="1">
      <c r="A72" s="39" t="n">
        <v>46091</v>
      </c>
      <c r="B72" s="40" t="inlineStr">
        <is>
          <t>Tuesday</t>
        </is>
      </c>
      <c r="C72" s="40" t="inlineStr">
        <is>
          <t>Grind Day</t>
        </is>
      </c>
      <c r="D72" s="41" t="n">
        <v>0</v>
      </c>
      <c r="E72" s="40" t="inlineStr"/>
      <c r="F72" s="40" t="inlineStr"/>
      <c r="G72" s="40" t="inlineStr"/>
      <c r="H72" s="40" t="inlineStr"/>
      <c r="I72" s="40" t="inlineStr"/>
    </row>
    <row r="73" ht="22" customHeight="1">
      <c r="A73" s="43" t="n">
        <v>46092</v>
      </c>
      <c r="B73" s="44" t="inlineStr">
        <is>
          <t>Wednesday</t>
        </is>
      </c>
      <c r="C73" s="44" t="inlineStr">
        <is>
          <t>Grind Day</t>
        </is>
      </c>
      <c r="D73" s="41" t="n">
        <v>0</v>
      </c>
      <c r="E73" s="44" t="inlineStr"/>
      <c r="F73" s="44" t="inlineStr"/>
      <c r="G73" s="44" t="inlineStr"/>
      <c r="H73" s="44" t="inlineStr"/>
      <c r="I73" s="44" t="inlineStr"/>
    </row>
    <row r="74" ht="22" customHeight="1">
      <c r="A74" s="48" t="n">
        <v>46093</v>
      </c>
      <c r="B74" s="49" t="inlineStr">
        <is>
          <t>Thursday</t>
        </is>
      </c>
      <c r="C74" s="49" t="inlineStr">
        <is>
          <t>Rest Day</t>
        </is>
      </c>
      <c r="D74" s="49" t="n">
        <v>0</v>
      </c>
      <c r="E74" s="49" t="inlineStr"/>
      <c r="F74" s="49" t="inlineStr"/>
      <c r="G74" s="49" t="inlineStr"/>
      <c r="H74" s="49" t="inlineStr"/>
      <c r="I74" s="49" t="inlineStr"/>
    </row>
    <row r="75" ht="22" customHeight="1">
      <c r="A75" s="43" t="n">
        <v>46094</v>
      </c>
      <c r="B75" s="44" t="inlineStr">
        <is>
          <t>Friday</t>
        </is>
      </c>
      <c r="C75" s="44" t="inlineStr">
        <is>
          <t>Grind Day</t>
        </is>
      </c>
      <c r="D75" s="41" t="n">
        <v>0</v>
      </c>
      <c r="E75" s="44" t="inlineStr"/>
      <c r="F75" s="44" t="inlineStr"/>
      <c r="G75" s="44" t="inlineStr"/>
      <c r="H75" s="44" t="inlineStr"/>
      <c r="I75" s="44" t="inlineStr"/>
    </row>
    <row r="76" ht="22" customHeight="1">
      <c r="A76" s="39" t="n">
        <v>46095</v>
      </c>
      <c r="B76" s="40" t="inlineStr">
        <is>
          <t>Saturday</t>
        </is>
      </c>
      <c r="C76" s="40" t="inlineStr">
        <is>
          <t>Grind Day</t>
        </is>
      </c>
      <c r="D76" s="41" t="n">
        <v>0</v>
      </c>
      <c r="E76" s="40" t="inlineStr"/>
      <c r="F76" s="40" t="inlineStr"/>
      <c r="G76" s="40" t="inlineStr"/>
      <c r="H76" s="40" t="inlineStr"/>
      <c r="I76" s="40" t="inlineStr"/>
    </row>
    <row r="77" ht="22" customHeight="1">
      <c r="A77" s="48" t="n">
        <v>46096</v>
      </c>
      <c r="B77" s="49" t="inlineStr">
        <is>
          <t>Sunday</t>
        </is>
      </c>
      <c r="C77" s="49" t="inlineStr">
        <is>
          <t>Rest Day</t>
        </is>
      </c>
      <c r="D77" s="49" t="n">
        <v>0</v>
      </c>
      <c r="E77" s="49" t="inlineStr"/>
      <c r="F77" s="49" t="inlineStr"/>
      <c r="G77" s="49" t="inlineStr"/>
      <c r="H77" s="49" t="inlineStr"/>
      <c r="I77" s="49" t="inlineStr"/>
    </row>
    <row r="78" ht="22" customHeight="1">
      <c r="A78" s="39" t="n">
        <v>46097</v>
      </c>
      <c r="B78" s="40" t="inlineStr">
        <is>
          <t>Monday</t>
        </is>
      </c>
      <c r="C78" s="40" t="inlineStr">
        <is>
          <t>Grind Day</t>
        </is>
      </c>
      <c r="D78" s="41" t="n">
        <v>0</v>
      </c>
      <c r="E78" s="40" t="inlineStr"/>
      <c r="F78" s="40" t="inlineStr"/>
      <c r="G78" s="40" t="inlineStr"/>
      <c r="H78" s="40" t="inlineStr"/>
      <c r="I78" s="40" t="inlineStr"/>
    </row>
    <row r="79" ht="22" customHeight="1">
      <c r="A79" s="43" t="n">
        <v>46098</v>
      </c>
      <c r="B79" s="44" t="inlineStr">
        <is>
          <t>Tuesday</t>
        </is>
      </c>
      <c r="C79" s="44" t="inlineStr">
        <is>
          <t>Grind Day</t>
        </is>
      </c>
      <c r="D79" s="41" t="n">
        <v>0</v>
      </c>
      <c r="E79" s="44" t="inlineStr"/>
      <c r="F79" s="44" t="inlineStr"/>
      <c r="G79" s="44" t="inlineStr"/>
      <c r="H79" s="44" t="inlineStr"/>
      <c r="I79" s="44" t="inlineStr"/>
    </row>
    <row r="80" ht="22" customHeight="1">
      <c r="A80" s="39" t="n">
        <v>46099</v>
      </c>
      <c r="B80" s="40" t="inlineStr">
        <is>
          <t>Wednesday</t>
        </is>
      </c>
      <c r="C80" s="40" t="inlineStr">
        <is>
          <t>Grind Day</t>
        </is>
      </c>
      <c r="D80" s="41" t="n">
        <v>0</v>
      </c>
      <c r="E80" s="40" t="inlineStr"/>
      <c r="F80" s="40" t="inlineStr"/>
      <c r="G80" s="40" t="inlineStr"/>
      <c r="H80" s="40" t="inlineStr"/>
      <c r="I80" s="40" t="inlineStr"/>
    </row>
    <row r="81" ht="22" customHeight="1">
      <c r="A81" s="48" t="n">
        <v>46100</v>
      </c>
      <c r="B81" s="49" t="inlineStr">
        <is>
          <t>Thursday</t>
        </is>
      </c>
      <c r="C81" s="49" t="inlineStr">
        <is>
          <t>Rest Day</t>
        </is>
      </c>
      <c r="D81" s="49" t="n">
        <v>0</v>
      </c>
      <c r="E81" s="49" t="inlineStr"/>
      <c r="F81" s="49" t="inlineStr"/>
      <c r="G81" s="49" t="inlineStr"/>
      <c r="H81" s="49" t="inlineStr"/>
      <c r="I81" s="49" t="inlineStr"/>
    </row>
    <row r="82" ht="22" customHeight="1">
      <c r="A82" s="39" t="n">
        <v>46101</v>
      </c>
      <c r="B82" s="40" t="inlineStr">
        <is>
          <t>Friday</t>
        </is>
      </c>
      <c r="C82" s="40" t="inlineStr">
        <is>
          <t>Grind Day</t>
        </is>
      </c>
      <c r="D82" s="41" t="n">
        <v>0</v>
      </c>
      <c r="E82" s="40" t="inlineStr"/>
      <c r="F82" s="40" t="inlineStr"/>
      <c r="G82" s="40" t="inlineStr"/>
      <c r="H82" s="40" t="inlineStr"/>
      <c r="I82" s="40" t="inlineStr"/>
    </row>
    <row r="83" ht="22" customHeight="1">
      <c r="A83" s="43" t="n">
        <v>46102</v>
      </c>
      <c r="B83" s="44" t="inlineStr">
        <is>
          <t>Saturday</t>
        </is>
      </c>
      <c r="C83" s="44" t="inlineStr">
        <is>
          <t>Grind Day</t>
        </is>
      </c>
      <c r="D83" s="41" t="n">
        <v>0</v>
      </c>
      <c r="E83" s="44" t="inlineStr"/>
      <c r="F83" s="44" t="inlineStr"/>
      <c r="G83" s="44" t="inlineStr"/>
      <c r="H83" s="44" t="inlineStr"/>
      <c r="I83" s="44" t="inlineStr"/>
    </row>
    <row r="84" ht="22" customHeight="1">
      <c r="A84" s="48" t="n">
        <v>46103</v>
      </c>
      <c r="B84" s="49" t="inlineStr">
        <is>
          <t>Sunday</t>
        </is>
      </c>
      <c r="C84" s="49" t="inlineStr">
        <is>
          <t>Rest Day</t>
        </is>
      </c>
      <c r="D84" s="49" t="n">
        <v>0</v>
      </c>
      <c r="E84" s="49" t="inlineStr"/>
      <c r="F84" s="49" t="inlineStr"/>
      <c r="G84" s="49" t="inlineStr"/>
      <c r="H84" s="49" t="inlineStr"/>
      <c r="I84" s="49" t="inlineStr"/>
    </row>
    <row r="85" ht="22" customHeight="1">
      <c r="A85" s="43" t="n">
        <v>46104</v>
      </c>
      <c r="B85" s="44" t="inlineStr">
        <is>
          <t>Monday</t>
        </is>
      </c>
      <c r="C85" s="44" t="inlineStr">
        <is>
          <t>Grind Day</t>
        </is>
      </c>
      <c r="D85" s="41" t="n">
        <v>0</v>
      </c>
      <c r="E85" s="44" t="inlineStr"/>
      <c r="F85" s="44" t="inlineStr"/>
      <c r="G85" s="44" t="inlineStr"/>
      <c r="H85" s="44" t="inlineStr"/>
      <c r="I85" s="44" t="inlineStr"/>
    </row>
    <row r="86" ht="22" customHeight="1">
      <c r="A86" s="39" t="n">
        <v>46105</v>
      </c>
      <c r="B86" s="40" t="inlineStr">
        <is>
          <t>Tuesday</t>
        </is>
      </c>
      <c r="C86" s="40" t="inlineStr">
        <is>
          <t>Grind Day</t>
        </is>
      </c>
      <c r="D86" s="41" t="n">
        <v>0</v>
      </c>
      <c r="E86" s="40" t="inlineStr"/>
      <c r="F86" s="40" t="inlineStr"/>
      <c r="G86" s="40" t="inlineStr"/>
      <c r="H86" s="40" t="inlineStr"/>
      <c r="I86" s="40" t="inlineStr"/>
    </row>
    <row r="87" ht="22" customHeight="1">
      <c r="A87" s="43" t="n">
        <v>46106</v>
      </c>
      <c r="B87" s="44" t="inlineStr">
        <is>
          <t>Wednesday</t>
        </is>
      </c>
      <c r="C87" s="44" t="inlineStr">
        <is>
          <t>Grind Day</t>
        </is>
      </c>
      <c r="D87" s="41" t="n">
        <v>0</v>
      </c>
      <c r="E87" s="44" t="inlineStr"/>
      <c r="F87" s="44" t="inlineStr"/>
      <c r="G87" s="44" t="inlineStr"/>
      <c r="H87" s="44" t="inlineStr"/>
      <c r="I87" s="44" t="inlineStr"/>
    </row>
    <row r="88" ht="22" customHeight="1">
      <c r="A88" s="48" t="n">
        <v>46107</v>
      </c>
      <c r="B88" s="49" t="inlineStr">
        <is>
          <t>Thursday</t>
        </is>
      </c>
      <c r="C88" s="49" t="inlineStr">
        <is>
          <t>Rest Day</t>
        </is>
      </c>
      <c r="D88" s="49" t="n">
        <v>0</v>
      </c>
      <c r="E88" s="49" t="inlineStr"/>
      <c r="F88" s="49" t="inlineStr"/>
      <c r="G88" s="49" t="inlineStr"/>
      <c r="H88" s="49" t="inlineStr"/>
      <c r="I88" s="49" t="inlineStr"/>
    </row>
    <row r="89" ht="22" customHeight="1">
      <c r="A89" s="43" t="n">
        <v>46108</v>
      </c>
      <c r="B89" s="44" t="inlineStr">
        <is>
          <t>Friday</t>
        </is>
      </c>
      <c r="C89" s="44" t="inlineStr">
        <is>
          <t>Grind Day</t>
        </is>
      </c>
      <c r="D89" s="41" t="n">
        <v>0</v>
      </c>
      <c r="E89" s="44" t="inlineStr"/>
      <c r="F89" s="44" t="inlineStr"/>
      <c r="G89" s="44" t="inlineStr"/>
      <c r="H89" s="44" t="inlineStr"/>
      <c r="I89" s="44" t="inlineStr"/>
    </row>
    <row r="90" ht="22" customHeight="1">
      <c r="A90" s="39" t="n">
        <v>46109</v>
      </c>
      <c r="B90" s="40" t="inlineStr">
        <is>
          <t>Saturday</t>
        </is>
      </c>
      <c r="C90" s="40" t="inlineStr">
        <is>
          <t>Grind Day</t>
        </is>
      </c>
      <c r="D90" s="41" t="n">
        <v>0</v>
      </c>
      <c r="E90" s="40" t="inlineStr"/>
      <c r="F90" s="40" t="inlineStr"/>
      <c r="G90" s="40" t="inlineStr"/>
      <c r="H90" s="40" t="inlineStr"/>
      <c r="I90" s="40" t="inlineStr"/>
    </row>
    <row r="91" ht="22" customHeight="1">
      <c r="A91" s="48" t="n">
        <v>46110</v>
      </c>
      <c r="B91" s="49" t="inlineStr">
        <is>
          <t>Sunday</t>
        </is>
      </c>
      <c r="C91" s="49" t="inlineStr">
        <is>
          <t>Rest Day</t>
        </is>
      </c>
      <c r="D91" s="49" t="n">
        <v>0</v>
      </c>
      <c r="E91" s="49" t="inlineStr"/>
      <c r="F91" s="49" t="inlineStr"/>
      <c r="G91" s="49" t="inlineStr"/>
      <c r="H91" s="49" t="inlineStr"/>
      <c r="I91" s="49" t="inlineStr"/>
    </row>
    <row r="92" ht="22" customHeight="1">
      <c r="A92" s="39" t="n">
        <v>46111</v>
      </c>
      <c r="B92" s="40" t="inlineStr">
        <is>
          <t>Monday</t>
        </is>
      </c>
      <c r="C92" s="40" t="inlineStr">
        <is>
          <t>Grind Day</t>
        </is>
      </c>
      <c r="D92" s="41" t="n">
        <v>0</v>
      </c>
      <c r="E92" s="40" t="inlineStr"/>
      <c r="F92" s="40" t="inlineStr"/>
      <c r="G92" s="40" t="inlineStr"/>
      <c r="H92" s="40" t="inlineStr"/>
      <c r="I92" s="40" t="inlineStr"/>
    </row>
    <row r="93" ht="22" customHeight="1">
      <c r="A93" s="43" t="n">
        <v>46112</v>
      </c>
      <c r="B93" s="44" t="inlineStr">
        <is>
          <t>Tuesday</t>
        </is>
      </c>
      <c r="C93" s="44" t="inlineStr">
        <is>
          <t>Grind Day</t>
        </is>
      </c>
      <c r="D93" s="41" t="n">
        <v>0</v>
      </c>
      <c r="E93" s="44" t="inlineStr"/>
      <c r="F93" s="44" t="inlineStr"/>
      <c r="G93" s="44" t="inlineStr"/>
      <c r="H93" s="44" t="inlineStr"/>
      <c r="I93" s="44" t="inlineStr"/>
    </row>
    <row r="94" ht="22" customHeight="1">
      <c r="A94" s="39" t="n">
        <v>46113</v>
      </c>
      <c r="B94" s="40" t="inlineStr">
        <is>
          <t>Wednesday</t>
        </is>
      </c>
      <c r="C94" s="40" t="inlineStr">
        <is>
          <t>Grind Day</t>
        </is>
      </c>
      <c r="D94" s="41" t="n">
        <v>0</v>
      </c>
      <c r="E94" s="40" t="inlineStr"/>
      <c r="F94" s="40" t="inlineStr"/>
      <c r="G94" s="40" t="inlineStr"/>
      <c r="H94" s="40" t="inlineStr"/>
      <c r="I94" s="40" t="inlineStr"/>
    </row>
    <row r="95" ht="22" customHeight="1">
      <c r="A95" s="48" t="n">
        <v>46114</v>
      </c>
      <c r="B95" s="49" t="inlineStr">
        <is>
          <t>Thursday</t>
        </is>
      </c>
      <c r="C95" s="49" t="inlineStr">
        <is>
          <t>Rest Day</t>
        </is>
      </c>
      <c r="D95" s="49" t="n">
        <v>0</v>
      </c>
      <c r="E95" s="49" t="inlineStr"/>
      <c r="F95" s="49" t="inlineStr"/>
      <c r="G95" s="49" t="inlineStr"/>
      <c r="H95" s="49" t="inlineStr"/>
      <c r="I95" s="49" t="inlineStr"/>
    </row>
    <row r="96" ht="22" customHeight="1">
      <c r="A96" s="39" t="n">
        <v>46115</v>
      </c>
      <c r="B96" s="40" t="inlineStr">
        <is>
          <t>Friday</t>
        </is>
      </c>
      <c r="C96" s="40" t="inlineStr">
        <is>
          <t>Grind Day</t>
        </is>
      </c>
      <c r="D96" s="41" t="n">
        <v>0</v>
      </c>
      <c r="E96" s="40" t="inlineStr"/>
      <c r="F96" s="40" t="inlineStr"/>
      <c r="G96" s="40" t="inlineStr"/>
      <c r="H96" s="40" t="inlineStr"/>
      <c r="I96" s="40" t="inlineStr"/>
    </row>
    <row r="97" ht="22" customHeight="1">
      <c r="A97" s="43" t="n">
        <v>46116</v>
      </c>
      <c r="B97" s="44" t="inlineStr">
        <is>
          <t>Saturday</t>
        </is>
      </c>
      <c r="C97" s="44" t="inlineStr">
        <is>
          <t>Grind Day</t>
        </is>
      </c>
      <c r="D97" s="41" t="n">
        <v>0</v>
      </c>
      <c r="E97" s="44" t="inlineStr"/>
      <c r="F97" s="44" t="inlineStr"/>
      <c r="G97" s="44" t="inlineStr"/>
      <c r="H97" s="44" t="inlineStr"/>
      <c r="I97" s="44" t="inlineStr"/>
    </row>
    <row r="98" ht="22" customHeight="1">
      <c r="A98" s="48" t="n">
        <v>46117</v>
      </c>
      <c r="B98" s="49" t="inlineStr">
        <is>
          <t>Sunday</t>
        </is>
      </c>
      <c r="C98" s="49" t="inlineStr">
        <is>
          <t>Rest Day</t>
        </is>
      </c>
      <c r="D98" s="49" t="n">
        <v>0</v>
      </c>
      <c r="E98" s="49" t="inlineStr"/>
      <c r="F98" s="49" t="inlineStr"/>
      <c r="G98" s="49" t="inlineStr"/>
      <c r="H98" s="49" t="inlineStr"/>
      <c r="I98" s="49" t="inlineStr"/>
    </row>
    <row r="99" ht="22" customHeight="1">
      <c r="A99" s="43" t="n">
        <v>46118</v>
      </c>
      <c r="B99" s="44" t="inlineStr">
        <is>
          <t>Monday</t>
        </is>
      </c>
      <c r="C99" s="44" t="inlineStr">
        <is>
          <t>Grind Day</t>
        </is>
      </c>
      <c r="D99" s="41" t="n">
        <v>0</v>
      </c>
      <c r="E99" s="44" t="inlineStr"/>
      <c r="F99" s="44" t="inlineStr"/>
      <c r="G99" s="44" t="inlineStr"/>
      <c r="H99" s="44" t="inlineStr"/>
      <c r="I99" s="44" t="inlineStr"/>
    </row>
    <row r="100" ht="22" customHeight="1">
      <c r="A100" s="39" t="n">
        <v>46119</v>
      </c>
      <c r="B100" s="40" t="inlineStr">
        <is>
          <t>Tuesday</t>
        </is>
      </c>
      <c r="C100" s="40" t="inlineStr">
        <is>
          <t>Grind Day</t>
        </is>
      </c>
      <c r="D100" s="41" t="n">
        <v>0</v>
      </c>
      <c r="E100" s="40" t="inlineStr"/>
      <c r="F100" s="40" t="inlineStr"/>
      <c r="G100" s="40" t="inlineStr"/>
      <c r="H100" s="40" t="inlineStr"/>
      <c r="I100" s="40" t="inlineStr"/>
    </row>
    <row r="101" ht="22" customHeight="1">
      <c r="A101" s="43" t="n">
        <v>46120</v>
      </c>
      <c r="B101" s="44" t="inlineStr">
        <is>
          <t>Wednesday</t>
        </is>
      </c>
      <c r="C101" s="44" t="inlineStr">
        <is>
          <t>Grind Day</t>
        </is>
      </c>
      <c r="D101" s="41" t="n">
        <v>0</v>
      </c>
      <c r="E101" s="44" t="inlineStr"/>
      <c r="F101" s="44" t="inlineStr"/>
      <c r="G101" s="44" t="inlineStr"/>
      <c r="H101" s="44" t="inlineStr"/>
      <c r="I101" s="44" t="inlineStr"/>
    </row>
    <row r="102" ht="22" customHeight="1">
      <c r="A102" s="48" t="n">
        <v>46121</v>
      </c>
      <c r="B102" s="49" t="inlineStr">
        <is>
          <t>Thursday</t>
        </is>
      </c>
      <c r="C102" s="49" t="inlineStr">
        <is>
          <t>Rest Day</t>
        </is>
      </c>
      <c r="D102" s="49" t="n">
        <v>0</v>
      </c>
      <c r="E102" s="49" t="inlineStr"/>
      <c r="F102" s="49" t="inlineStr"/>
      <c r="G102" s="49" t="inlineStr"/>
      <c r="H102" s="49" t="inlineStr"/>
      <c r="I102" s="49" t="inlineStr"/>
    </row>
    <row r="103" ht="22" customHeight="1">
      <c r="A103" s="43" t="n">
        <v>46122</v>
      </c>
      <c r="B103" s="44" t="inlineStr">
        <is>
          <t>Friday</t>
        </is>
      </c>
      <c r="C103" s="44" t="inlineStr">
        <is>
          <t>Grind Day</t>
        </is>
      </c>
      <c r="D103" s="41" t="n">
        <v>0</v>
      </c>
      <c r="E103" s="44" t="inlineStr"/>
      <c r="F103" s="44" t="inlineStr"/>
      <c r="G103" s="44" t="inlineStr"/>
      <c r="H103" s="44" t="inlineStr"/>
      <c r="I103" s="44" t="inlineStr"/>
    </row>
    <row r="104" ht="22" customHeight="1">
      <c r="A104" s="39" t="n">
        <v>46123</v>
      </c>
      <c r="B104" s="40" t="inlineStr">
        <is>
          <t>Saturday</t>
        </is>
      </c>
      <c r="C104" s="40" t="inlineStr">
        <is>
          <t>Grind Day</t>
        </is>
      </c>
      <c r="D104" s="41" t="n">
        <v>0</v>
      </c>
      <c r="E104" s="40" t="inlineStr"/>
      <c r="F104" s="40" t="inlineStr"/>
      <c r="G104" s="40" t="inlineStr"/>
      <c r="H104" s="40" t="inlineStr"/>
      <c r="I104" s="40" t="inlineStr"/>
    </row>
    <row r="105" ht="22" customHeight="1">
      <c r="A105" s="48" t="n">
        <v>46124</v>
      </c>
      <c r="B105" s="49" t="inlineStr">
        <is>
          <t>Sunday</t>
        </is>
      </c>
      <c r="C105" s="49" t="inlineStr">
        <is>
          <t>Rest Day</t>
        </is>
      </c>
      <c r="D105" s="49" t="n">
        <v>0</v>
      </c>
      <c r="E105" s="49" t="inlineStr"/>
      <c r="F105" s="49" t="inlineStr"/>
      <c r="G105" s="49" t="inlineStr"/>
      <c r="H105" s="49" t="inlineStr"/>
      <c r="I105" s="49" t="inlineStr"/>
    </row>
    <row r="106" ht="22" customHeight="1">
      <c r="A106" s="39" t="n">
        <v>46125</v>
      </c>
      <c r="B106" s="40" t="inlineStr">
        <is>
          <t>Monday</t>
        </is>
      </c>
      <c r="C106" s="40" t="inlineStr">
        <is>
          <t>Grind Day</t>
        </is>
      </c>
      <c r="D106" s="41" t="n">
        <v>0</v>
      </c>
      <c r="E106" s="40" t="inlineStr"/>
      <c r="F106" s="40" t="inlineStr"/>
      <c r="G106" s="40" t="inlineStr"/>
      <c r="H106" s="40" t="inlineStr"/>
      <c r="I106" s="40" t="inlineStr"/>
    </row>
    <row r="107" ht="22" customHeight="1">
      <c r="A107" s="43" t="n">
        <v>46126</v>
      </c>
      <c r="B107" s="44" t="inlineStr">
        <is>
          <t>Tuesday</t>
        </is>
      </c>
      <c r="C107" s="44" t="inlineStr">
        <is>
          <t>Grind Day</t>
        </is>
      </c>
      <c r="D107" s="41" t="n">
        <v>0</v>
      </c>
      <c r="E107" s="44" t="inlineStr"/>
      <c r="F107" s="44" t="inlineStr"/>
      <c r="G107" s="44" t="inlineStr"/>
      <c r="H107" s="44" t="inlineStr"/>
      <c r="I107" s="44" t="inlineStr"/>
    </row>
    <row r="108" ht="22" customHeight="1">
      <c r="A108" s="39" t="n">
        <v>46127</v>
      </c>
      <c r="B108" s="40" t="inlineStr">
        <is>
          <t>Wednesday</t>
        </is>
      </c>
      <c r="C108" s="40" t="inlineStr">
        <is>
          <t>Grind Day</t>
        </is>
      </c>
      <c r="D108" s="41" t="n">
        <v>0</v>
      </c>
      <c r="E108" s="40" t="inlineStr"/>
      <c r="F108" s="40" t="inlineStr"/>
      <c r="G108" s="40" t="inlineStr"/>
      <c r="H108" s="40" t="inlineStr"/>
      <c r="I108" s="40" t="inlineStr"/>
    </row>
    <row r="109" ht="22" customHeight="1">
      <c r="A109" s="48" t="n">
        <v>46128</v>
      </c>
      <c r="B109" s="49" t="inlineStr">
        <is>
          <t>Thursday</t>
        </is>
      </c>
      <c r="C109" s="49" t="inlineStr">
        <is>
          <t>Rest Day</t>
        </is>
      </c>
      <c r="D109" s="49" t="n">
        <v>0</v>
      </c>
      <c r="E109" s="49" t="inlineStr"/>
      <c r="F109" s="49" t="inlineStr"/>
      <c r="G109" s="49" t="inlineStr"/>
      <c r="H109" s="49" t="inlineStr"/>
      <c r="I109" s="49" t="inlineStr"/>
    </row>
    <row r="110" ht="22" customHeight="1">
      <c r="A110" s="39" t="n">
        <v>46129</v>
      </c>
      <c r="B110" s="40" t="inlineStr">
        <is>
          <t>Friday</t>
        </is>
      </c>
      <c r="C110" s="40" t="inlineStr">
        <is>
          <t>Grind Day</t>
        </is>
      </c>
      <c r="D110" s="41" t="n">
        <v>0</v>
      </c>
      <c r="E110" s="40" t="inlineStr"/>
      <c r="F110" s="40" t="inlineStr"/>
      <c r="G110" s="40" t="inlineStr"/>
      <c r="H110" s="40" t="inlineStr"/>
      <c r="I110" s="40" t="inlineStr"/>
    </row>
    <row r="111" ht="22" customHeight="1">
      <c r="A111" s="43" t="n">
        <v>46130</v>
      </c>
      <c r="B111" s="44" t="inlineStr">
        <is>
          <t>Saturday</t>
        </is>
      </c>
      <c r="C111" s="44" t="inlineStr">
        <is>
          <t>Grind Day</t>
        </is>
      </c>
      <c r="D111" s="41" t="n">
        <v>0</v>
      </c>
      <c r="E111" s="44" t="inlineStr"/>
      <c r="F111" s="44" t="inlineStr"/>
      <c r="G111" s="44" t="inlineStr"/>
      <c r="H111" s="44" t="inlineStr"/>
      <c r="I111" s="44" t="inlineStr"/>
    </row>
    <row r="112" ht="22" customHeight="1">
      <c r="A112" s="48" t="n">
        <v>46131</v>
      </c>
      <c r="B112" s="49" t="inlineStr">
        <is>
          <t>Sunday</t>
        </is>
      </c>
      <c r="C112" s="49" t="inlineStr">
        <is>
          <t>Rest Day</t>
        </is>
      </c>
      <c r="D112" s="49" t="n">
        <v>0</v>
      </c>
      <c r="E112" s="49" t="inlineStr"/>
      <c r="F112" s="49" t="inlineStr"/>
      <c r="G112" s="49" t="inlineStr"/>
      <c r="H112" s="49" t="inlineStr"/>
      <c r="I112" s="49" t="inlineStr"/>
    </row>
    <row r="113" ht="22" customHeight="1">
      <c r="A113" s="43" t="n">
        <v>46132</v>
      </c>
      <c r="B113" s="44" t="inlineStr">
        <is>
          <t>Monday</t>
        </is>
      </c>
      <c r="C113" s="44" t="inlineStr">
        <is>
          <t>Grind Day</t>
        </is>
      </c>
      <c r="D113" s="41" t="n">
        <v>0</v>
      </c>
      <c r="E113" s="44" t="inlineStr"/>
      <c r="F113" s="44" t="inlineStr"/>
      <c r="G113" s="44" t="inlineStr"/>
      <c r="H113" s="44" t="inlineStr"/>
      <c r="I113" s="44" t="inlineStr"/>
    </row>
    <row r="114" ht="22" customHeight="1">
      <c r="A114" s="39" t="n">
        <v>46133</v>
      </c>
      <c r="B114" s="40" t="inlineStr">
        <is>
          <t>Tuesday</t>
        </is>
      </c>
      <c r="C114" s="40" t="inlineStr">
        <is>
          <t>Grind Day</t>
        </is>
      </c>
      <c r="D114" s="41" t="n">
        <v>0</v>
      </c>
      <c r="E114" s="40" t="inlineStr"/>
      <c r="F114" s="40" t="inlineStr"/>
      <c r="G114" s="40" t="inlineStr"/>
      <c r="H114" s="40" t="inlineStr"/>
      <c r="I114" s="40" t="inlineStr"/>
    </row>
    <row r="115" ht="22" customHeight="1">
      <c r="A115" s="43" t="n">
        <v>46134</v>
      </c>
      <c r="B115" s="44" t="inlineStr">
        <is>
          <t>Wednesday</t>
        </is>
      </c>
      <c r="C115" s="44" t="inlineStr">
        <is>
          <t>Grind Day</t>
        </is>
      </c>
      <c r="D115" s="41" t="n">
        <v>0</v>
      </c>
      <c r="E115" s="44" t="inlineStr"/>
      <c r="F115" s="44" t="inlineStr"/>
      <c r="G115" s="44" t="inlineStr"/>
      <c r="H115" s="44" t="inlineStr"/>
      <c r="I115" s="44" t="inlineStr"/>
    </row>
    <row r="116" ht="22" customHeight="1">
      <c r="A116" s="48" t="n">
        <v>46135</v>
      </c>
      <c r="B116" s="49" t="inlineStr">
        <is>
          <t>Thursday</t>
        </is>
      </c>
      <c r="C116" s="49" t="inlineStr">
        <is>
          <t>Rest Day</t>
        </is>
      </c>
      <c r="D116" s="49" t="n">
        <v>0</v>
      </c>
      <c r="E116" s="49" t="inlineStr"/>
      <c r="F116" s="49" t="inlineStr"/>
      <c r="G116" s="49" t="inlineStr"/>
      <c r="H116" s="49" t="inlineStr"/>
      <c r="I116" s="49" t="inlineStr"/>
    </row>
    <row r="117" ht="22" customHeight="1">
      <c r="A117" s="43" t="n">
        <v>46136</v>
      </c>
      <c r="B117" s="44" t="inlineStr">
        <is>
          <t>Friday</t>
        </is>
      </c>
      <c r="C117" s="44" t="inlineStr">
        <is>
          <t>Grind Day</t>
        </is>
      </c>
      <c r="D117" s="41" t="n">
        <v>0</v>
      </c>
      <c r="E117" s="44" t="inlineStr"/>
      <c r="F117" s="44" t="inlineStr"/>
      <c r="G117" s="44" t="inlineStr"/>
      <c r="H117" s="44" t="inlineStr"/>
      <c r="I117" s="44" t="inlineStr"/>
    </row>
    <row r="118" ht="22" customHeight="1">
      <c r="A118" s="39" t="n">
        <v>46137</v>
      </c>
      <c r="B118" s="40" t="inlineStr">
        <is>
          <t>Saturday</t>
        </is>
      </c>
      <c r="C118" s="40" t="inlineStr">
        <is>
          <t>Grind Day</t>
        </is>
      </c>
      <c r="D118" s="41" t="n">
        <v>0</v>
      </c>
      <c r="E118" s="40" t="inlineStr"/>
      <c r="F118" s="40" t="inlineStr"/>
      <c r="G118" s="40" t="inlineStr"/>
      <c r="H118" s="40" t="inlineStr"/>
      <c r="I118" s="40" t="inlineStr"/>
    </row>
    <row r="119" ht="22" customHeight="1">
      <c r="A119" s="48" t="n">
        <v>46138</v>
      </c>
      <c r="B119" s="49" t="inlineStr">
        <is>
          <t>Sunday</t>
        </is>
      </c>
      <c r="C119" s="49" t="inlineStr">
        <is>
          <t>Rest Day</t>
        </is>
      </c>
      <c r="D119" s="49" t="n">
        <v>0</v>
      </c>
      <c r="E119" s="49" t="inlineStr"/>
      <c r="F119" s="49" t="inlineStr"/>
      <c r="G119" s="49" t="inlineStr"/>
      <c r="H119" s="49" t="inlineStr"/>
      <c r="I119" s="49" t="inlineStr"/>
    </row>
    <row r="120" ht="22" customHeight="1">
      <c r="A120" s="39" t="n">
        <v>46139</v>
      </c>
      <c r="B120" s="40" t="inlineStr">
        <is>
          <t>Monday</t>
        </is>
      </c>
      <c r="C120" s="40" t="inlineStr">
        <is>
          <t>Grind Day</t>
        </is>
      </c>
      <c r="D120" s="41" t="n">
        <v>0</v>
      </c>
      <c r="E120" s="40" t="inlineStr"/>
      <c r="F120" s="40" t="inlineStr"/>
      <c r="G120" s="40" t="inlineStr"/>
      <c r="H120" s="40" t="inlineStr"/>
      <c r="I120" s="40" t="inlineStr"/>
    </row>
    <row r="121" ht="22" customHeight="1">
      <c r="A121" s="43" t="n">
        <v>46140</v>
      </c>
      <c r="B121" s="44" t="inlineStr">
        <is>
          <t>Tuesday</t>
        </is>
      </c>
      <c r="C121" s="44" t="inlineStr">
        <is>
          <t>Grind Day</t>
        </is>
      </c>
      <c r="D121" s="41" t="n">
        <v>0</v>
      </c>
      <c r="E121" s="44" t="inlineStr"/>
      <c r="F121" s="44" t="inlineStr"/>
      <c r="G121" s="44" t="inlineStr"/>
      <c r="H121" s="44" t="inlineStr"/>
      <c r="I121" s="44" t="inlineStr"/>
    </row>
    <row r="122" ht="22" customHeight="1">
      <c r="A122" s="39" t="n">
        <v>46141</v>
      </c>
      <c r="B122" s="40" t="inlineStr">
        <is>
          <t>Wednesday</t>
        </is>
      </c>
      <c r="C122" s="40" t="inlineStr">
        <is>
          <t>Grind Day</t>
        </is>
      </c>
      <c r="D122" s="41" t="n">
        <v>0</v>
      </c>
      <c r="E122" s="40" t="inlineStr"/>
      <c r="F122" s="40" t="inlineStr"/>
      <c r="G122" s="40" t="inlineStr"/>
      <c r="H122" s="40" t="inlineStr"/>
      <c r="I122" s="40" t="inlineStr"/>
    </row>
    <row r="123" ht="22" customHeight="1">
      <c r="A123" s="48" t="n">
        <v>46142</v>
      </c>
      <c r="B123" s="49" t="inlineStr">
        <is>
          <t>Thursday</t>
        </is>
      </c>
      <c r="C123" s="49" t="inlineStr">
        <is>
          <t>Rest Day</t>
        </is>
      </c>
      <c r="D123" s="49" t="n">
        <v>0</v>
      </c>
      <c r="E123" s="49" t="inlineStr"/>
      <c r="F123" s="49" t="inlineStr"/>
      <c r="G123" s="49" t="inlineStr"/>
      <c r="H123" s="49" t="inlineStr"/>
      <c r="I123" s="49" t="inlineStr"/>
    </row>
    <row r="124" ht="22" customHeight="1">
      <c r="A124" s="39" t="n">
        <v>46143</v>
      </c>
      <c r="B124" s="40" t="inlineStr">
        <is>
          <t>Friday</t>
        </is>
      </c>
      <c r="C124" s="40" t="inlineStr">
        <is>
          <t>Grind Day</t>
        </is>
      </c>
      <c r="D124" s="41" t="n">
        <v>0</v>
      </c>
      <c r="E124" s="40" t="inlineStr"/>
      <c r="F124" s="40" t="inlineStr"/>
      <c r="G124" s="40" t="inlineStr"/>
      <c r="H124" s="40" t="inlineStr"/>
      <c r="I124" s="40" t="inlineStr"/>
    </row>
    <row r="125" ht="22" customHeight="1">
      <c r="A125" s="43" t="n">
        <v>46144</v>
      </c>
      <c r="B125" s="44" t="inlineStr">
        <is>
          <t>Saturday</t>
        </is>
      </c>
      <c r="C125" s="44" t="inlineStr">
        <is>
          <t>Grind Day</t>
        </is>
      </c>
      <c r="D125" s="41" t="n">
        <v>0</v>
      </c>
      <c r="E125" s="44" t="inlineStr"/>
      <c r="F125" s="44" t="inlineStr"/>
      <c r="G125" s="44" t="inlineStr"/>
      <c r="H125" s="44" t="inlineStr"/>
      <c r="I125" s="44" t="inlineStr"/>
    </row>
    <row r="126" ht="22" customHeight="1">
      <c r="A126" s="48" t="n">
        <v>46145</v>
      </c>
      <c r="B126" s="49" t="inlineStr">
        <is>
          <t>Sunday</t>
        </is>
      </c>
      <c r="C126" s="49" t="inlineStr">
        <is>
          <t>Rest Day</t>
        </is>
      </c>
      <c r="D126" s="49" t="n">
        <v>0</v>
      </c>
      <c r="E126" s="49" t="inlineStr"/>
      <c r="F126" s="49" t="inlineStr"/>
      <c r="G126" s="49" t="inlineStr"/>
      <c r="H126" s="49" t="inlineStr"/>
      <c r="I126" s="49" t="inlineStr"/>
    </row>
    <row r="127" ht="22" customHeight="1">
      <c r="A127" s="43" t="n">
        <v>46146</v>
      </c>
      <c r="B127" s="44" t="inlineStr">
        <is>
          <t>Monday</t>
        </is>
      </c>
      <c r="C127" s="44" t="inlineStr">
        <is>
          <t>Grind Day</t>
        </is>
      </c>
      <c r="D127" s="41" t="n">
        <v>0</v>
      </c>
      <c r="E127" s="44" t="inlineStr"/>
      <c r="F127" s="44" t="inlineStr"/>
      <c r="G127" s="44" t="inlineStr"/>
      <c r="H127" s="44" t="inlineStr"/>
      <c r="I127" s="44" t="inlineStr"/>
    </row>
    <row r="128" ht="22" customHeight="1">
      <c r="A128" s="39" t="n">
        <v>46147</v>
      </c>
      <c r="B128" s="40" t="inlineStr">
        <is>
          <t>Tuesday</t>
        </is>
      </c>
      <c r="C128" s="40" t="inlineStr">
        <is>
          <t>Grind Day</t>
        </is>
      </c>
      <c r="D128" s="41" t="n">
        <v>0</v>
      </c>
      <c r="E128" s="40" t="inlineStr"/>
      <c r="F128" s="40" t="inlineStr"/>
      <c r="G128" s="40" t="inlineStr"/>
      <c r="H128" s="40" t="inlineStr"/>
      <c r="I128" s="40" t="inlineStr"/>
    </row>
    <row r="129" ht="22" customHeight="1">
      <c r="A129" s="43" t="n">
        <v>46148</v>
      </c>
      <c r="B129" s="44" t="inlineStr">
        <is>
          <t>Wednesday</t>
        </is>
      </c>
      <c r="C129" s="44" t="inlineStr">
        <is>
          <t>Grind Day</t>
        </is>
      </c>
      <c r="D129" s="41" t="n">
        <v>0</v>
      </c>
      <c r="E129" s="44" t="inlineStr"/>
      <c r="F129" s="44" t="inlineStr"/>
      <c r="G129" s="44" t="inlineStr"/>
      <c r="H129" s="44" t="inlineStr"/>
      <c r="I129" s="44" t="inlineStr"/>
    </row>
    <row r="130" ht="22" customHeight="1">
      <c r="A130" s="48" t="n">
        <v>46149</v>
      </c>
      <c r="B130" s="49" t="inlineStr">
        <is>
          <t>Thursday</t>
        </is>
      </c>
      <c r="C130" s="49" t="inlineStr">
        <is>
          <t>Rest Day</t>
        </is>
      </c>
      <c r="D130" s="49" t="n">
        <v>0</v>
      </c>
      <c r="E130" s="49" t="inlineStr"/>
      <c r="F130" s="49" t="inlineStr"/>
      <c r="G130" s="49" t="inlineStr"/>
      <c r="H130" s="49" t="inlineStr"/>
      <c r="I130" s="49" t="inlineStr"/>
    </row>
    <row r="131" ht="22" customHeight="1">
      <c r="A131" s="43" t="n">
        <v>46150</v>
      </c>
      <c r="B131" s="44" t="inlineStr">
        <is>
          <t>Friday</t>
        </is>
      </c>
      <c r="C131" s="44" t="inlineStr">
        <is>
          <t>Grind Day</t>
        </is>
      </c>
      <c r="D131" s="41" t="n">
        <v>0</v>
      </c>
      <c r="E131" s="44" t="inlineStr"/>
      <c r="F131" s="44" t="inlineStr"/>
      <c r="G131" s="44" t="inlineStr"/>
      <c r="H131" s="44" t="inlineStr"/>
      <c r="I131" s="44" t="inlineStr"/>
    </row>
    <row r="132" ht="22" customHeight="1">
      <c r="A132" s="39" t="n">
        <v>46151</v>
      </c>
      <c r="B132" s="40" t="inlineStr">
        <is>
          <t>Saturday</t>
        </is>
      </c>
      <c r="C132" s="40" t="inlineStr">
        <is>
          <t>Grind Day</t>
        </is>
      </c>
      <c r="D132" s="41" t="n">
        <v>0</v>
      </c>
      <c r="E132" s="40" t="inlineStr"/>
      <c r="F132" s="40" t="inlineStr"/>
      <c r="G132" s="40" t="inlineStr"/>
      <c r="H132" s="40" t="inlineStr"/>
      <c r="I132" s="40" t="inlineStr"/>
    </row>
    <row r="133" ht="22" customHeight="1">
      <c r="A133" s="48" t="n">
        <v>46152</v>
      </c>
      <c r="B133" s="49" t="inlineStr">
        <is>
          <t>Sunday</t>
        </is>
      </c>
      <c r="C133" s="49" t="inlineStr">
        <is>
          <t>Rest Day</t>
        </is>
      </c>
      <c r="D133" s="49" t="n">
        <v>0</v>
      </c>
      <c r="E133" s="49" t="inlineStr"/>
      <c r="F133" s="49" t="inlineStr"/>
      <c r="G133" s="49" t="inlineStr"/>
      <c r="H133" s="49" t="inlineStr"/>
      <c r="I133" s="49" t="inlineStr"/>
    </row>
    <row r="134" ht="22" customHeight="1">
      <c r="A134" s="39" t="n">
        <v>46153</v>
      </c>
      <c r="B134" s="40" t="inlineStr">
        <is>
          <t>Monday</t>
        </is>
      </c>
      <c r="C134" s="40" t="inlineStr">
        <is>
          <t>Grind Day</t>
        </is>
      </c>
      <c r="D134" s="41" t="n">
        <v>0</v>
      </c>
      <c r="E134" s="40" t="inlineStr"/>
      <c r="F134" s="40" t="inlineStr"/>
      <c r="G134" s="40" t="inlineStr"/>
      <c r="H134" s="40" t="inlineStr"/>
      <c r="I134" s="40" t="inlineStr"/>
    </row>
    <row r="135" ht="22" customHeight="1">
      <c r="A135" s="43" t="n">
        <v>46154</v>
      </c>
      <c r="B135" s="44" t="inlineStr">
        <is>
          <t>Tuesday</t>
        </is>
      </c>
      <c r="C135" s="44" t="inlineStr">
        <is>
          <t>Grind Day</t>
        </is>
      </c>
      <c r="D135" s="41" t="n">
        <v>0</v>
      </c>
      <c r="E135" s="44" t="inlineStr"/>
      <c r="F135" s="44" t="inlineStr"/>
      <c r="G135" s="44" t="inlineStr"/>
      <c r="H135" s="44" t="inlineStr"/>
      <c r="I135" s="44" t="inlineStr"/>
    </row>
    <row r="136" ht="22" customHeight="1">
      <c r="A136" s="39" t="n">
        <v>46155</v>
      </c>
      <c r="B136" s="40" t="inlineStr">
        <is>
          <t>Wednesday</t>
        </is>
      </c>
      <c r="C136" s="40" t="inlineStr">
        <is>
          <t>Grind Day</t>
        </is>
      </c>
      <c r="D136" s="41" t="n">
        <v>0</v>
      </c>
      <c r="E136" s="40" t="inlineStr"/>
      <c r="F136" s="40" t="inlineStr"/>
      <c r="G136" s="40" t="inlineStr"/>
      <c r="H136" s="40" t="inlineStr"/>
      <c r="I136" s="40" t="inlineStr"/>
    </row>
    <row r="137" ht="22" customHeight="1">
      <c r="A137" s="48" t="n">
        <v>46156</v>
      </c>
      <c r="B137" s="49" t="inlineStr">
        <is>
          <t>Thursday</t>
        </is>
      </c>
      <c r="C137" s="49" t="inlineStr">
        <is>
          <t>Rest Day</t>
        </is>
      </c>
      <c r="D137" s="49" t="n">
        <v>0</v>
      </c>
      <c r="E137" s="49" t="inlineStr"/>
      <c r="F137" s="49" t="inlineStr"/>
      <c r="G137" s="49" t="inlineStr"/>
      <c r="H137" s="49" t="inlineStr"/>
      <c r="I137" s="49" t="inlineStr"/>
    </row>
    <row r="138" ht="22" customHeight="1">
      <c r="A138" s="39" t="n">
        <v>46157</v>
      </c>
      <c r="B138" s="40" t="inlineStr">
        <is>
          <t>Friday</t>
        </is>
      </c>
      <c r="C138" s="40" t="inlineStr">
        <is>
          <t>Grind Day</t>
        </is>
      </c>
      <c r="D138" s="41" t="n">
        <v>0</v>
      </c>
      <c r="E138" s="40" t="inlineStr"/>
      <c r="F138" s="40" t="inlineStr"/>
      <c r="G138" s="40" t="inlineStr"/>
      <c r="H138" s="40" t="inlineStr"/>
      <c r="I138" s="40" t="inlineStr"/>
    </row>
    <row r="139" ht="22" customHeight="1">
      <c r="A139" s="43" t="n">
        <v>46158</v>
      </c>
      <c r="B139" s="44" t="inlineStr">
        <is>
          <t>Saturday</t>
        </is>
      </c>
      <c r="C139" s="44" t="inlineStr">
        <is>
          <t>Grind Day</t>
        </is>
      </c>
      <c r="D139" s="41" t="n">
        <v>0</v>
      </c>
      <c r="E139" s="44" t="inlineStr"/>
      <c r="F139" s="44" t="inlineStr"/>
      <c r="G139" s="44" t="inlineStr"/>
      <c r="H139" s="44" t="inlineStr"/>
      <c r="I139" s="44" t="inlineStr"/>
    </row>
    <row r="140" ht="22" customHeight="1">
      <c r="A140" s="48" t="n">
        <v>46159</v>
      </c>
      <c r="B140" s="49" t="inlineStr">
        <is>
          <t>Sunday</t>
        </is>
      </c>
      <c r="C140" s="49" t="inlineStr">
        <is>
          <t>Rest Day</t>
        </is>
      </c>
      <c r="D140" s="49" t="n">
        <v>0</v>
      </c>
      <c r="E140" s="49" t="inlineStr"/>
      <c r="F140" s="49" t="inlineStr"/>
      <c r="G140" s="49" t="inlineStr"/>
      <c r="H140" s="49" t="inlineStr"/>
      <c r="I140" s="49" t="inlineStr"/>
    </row>
    <row r="141" ht="22" customHeight="1">
      <c r="A141" s="43" t="n">
        <v>46160</v>
      </c>
      <c r="B141" s="44" t="inlineStr">
        <is>
          <t>Monday</t>
        </is>
      </c>
      <c r="C141" s="44" t="inlineStr">
        <is>
          <t>Grind Day</t>
        </is>
      </c>
      <c r="D141" s="41" t="n">
        <v>0</v>
      </c>
      <c r="E141" s="44" t="inlineStr"/>
      <c r="F141" s="44" t="inlineStr"/>
      <c r="G141" s="44" t="inlineStr"/>
      <c r="H141" s="44" t="inlineStr"/>
      <c r="I141" s="44" t="inlineStr"/>
    </row>
    <row r="142" ht="22" customHeight="1">
      <c r="A142" s="39" t="n">
        <v>46161</v>
      </c>
      <c r="B142" s="40" t="inlineStr">
        <is>
          <t>Tuesday</t>
        </is>
      </c>
      <c r="C142" s="40" t="inlineStr">
        <is>
          <t>Grind Day</t>
        </is>
      </c>
      <c r="D142" s="41" t="n">
        <v>0</v>
      </c>
      <c r="E142" s="40" t="inlineStr"/>
      <c r="F142" s="40" t="inlineStr"/>
      <c r="G142" s="40" t="inlineStr"/>
      <c r="H142" s="40" t="inlineStr"/>
      <c r="I142" s="40" t="inlineStr"/>
    </row>
    <row r="143" ht="22" customHeight="1">
      <c r="A143" s="43" t="n">
        <v>46162</v>
      </c>
      <c r="B143" s="44" t="inlineStr">
        <is>
          <t>Wednesday</t>
        </is>
      </c>
      <c r="C143" s="44" t="inlineStr">
        <is>
          <t>Grind Day</t>
        </is>
      </c>
      <c r="D143" s="41" t="n">
        <v>0</v>
      </c>
      <c r="E143" s="44" t="inlineStr"/>
      <c r="F143" s="44" t="inlineStr"/>
      <c r="G143" s="44" t="inlineStr"/>
      <c r="H143" s="44" t="inlineStr"/>
      <c r="I143" s="44" t="inlineStr"/>
    </row>
    <row r="144" ht="22" customHeight="1">
      <c r="A144" s="48" t="n">
        <v>46163</v>
      </c>
      <c r="B144" s="49" t="inlineStr">
        <is>
          <t>Thursday</t>
        </is>
      </c>
      <c r="C144" s="49" t="inlineStr">
        <is>
          <t>Rest Day</t>
        </is>
      </c>
      <c r="D144" s="49" t="n">
        <v>0</v>
      </c>
      <c r="E144" s="49" t="inlineStr"/>
      <c r="F144" s="49" t="inlineStr"/>
      <c r="G144" s="49" t="inlineStr"/>
      <c r="H144" s="49" t="inlineStr"/>
      <c r="I144" s="49" t="inlineStr"/>
    </row>
    <row r="145" ht="22" customHeight="1">
      <c r="A145" s="43" t="n">
        <v>46164</v>
      </c>
      <c r="B145" s="44" t="inlineStr">
        <is>
          <t>Friday</t>
        </is>
      </c>
      <c r="C145" s="44" t="inlineStr">
        <is>
          <t>Grind Day</t>
        </is>
      </c>
      <c r="D145" s="41" t="n">
        <v>0</v>
      </c>
      <c r="E145" s="44" t="inlineStr"/>
      <c r="F145" s="44" t="inlineStr"/>
      <c r="G145" s="44" t="inlineStr"/>
      <c r="H145" s="44" t="inlineStr"/>
      <c r="I145" s="44" t="inlineStr"/>
    </row>
    <row r="146" ht="22" customHeight="1">
      <c r="A146" s="39" t="n">
        <v>46165</v>
      </c>
      <c r="B146" s="40" t="inlineStr">
        <is>
          <t>Saturday</t>
        </is>
      </c>
      <c r="C146" s="40" t="inlineStr">
        <is>
          <t>Grind Day</t>
        </is>
      </c>
      <c r="D146" s="41" t="n">
        <v>0</v>
      </c>
      <c r="E146" s="40" t="inlineStr"/>
      <c r="F146" s="40" t="inlineStr"/>
      <c r="G146" s="40" t="inlineStr"/>
      <c r="H146" s="40" t="inlineStr"/>
      <c r="I146" s="40" t="inlineStr"/>
    </row>
    <row r="147" ht="22" customHeight="1">
      <c r="A147" s="48" t="n">
        <v>46166</v>
      </c>
      <c r="B147" s="49" t="inlineStr">
        <is>
          <t>Sunday</t>
        </is>
      </c>
      <c r="C147" s="49" t="inlineStr">
        <is>
          <t>Rest Day</t>
        </is>
      </c>
      <c r="D147" s="49" t="n">
        <v>0</v>
      </c>
      <c r="E147" s="49" t="inlineStr"/>
      <c r="F147" s="49" t="inlineStr"/>
      <c r="G147" s="49" t="inlineStr"/>
      <c r="H147" s="49" t="inlineStr"/>
      <c r="I147" s="49" t="inlineStr"/>
    </row>
    <row r="148" ht="22" customHeight="1">
      <c r="A148" s="39" t="n">
        <v>46167</v>
      </c>
      <c r="B148" s="40" t="inlineStr">
        <is>
          <t>Monday</t>
        </is>
      </c>
      <c r="C148" s="40" t="inlineStr">
        <is>
          <t>Grind Day</t>
        </is>
      </c>
      <c r="D148" s="41" t="n">
        <v>0</v>
      </c>
      <c r="E148" s="40" t="inlineStr"/>
      <c r="F148" s="40" t="inlineStr"/>
      <c r="G148" s="40" t="inlineStr"/>
      <c r="H148" s="40" t="inlineStr"/>
      <c r="I148" s="40" t="inlineStr"/>
    </row>
    <row r="149" ht="22" customHeight="1">
      <c r="A149" s="43" t="n">
        <v>46168</v>
      </c>
      <c r="B149" s="44" t="inlineStr">
        <is>
          <t>Tuesday</t>
        </is>
      </c>
      <c r="C149" s="44" t="inlineStr">
        <is>
          <t>Grind Day</t>
        </is>
      </c>
      <c r="D149" s="41" t="n">
        <v>0</v>
      </c>
      <c r="E149" s="44" t="inlineStr"/>
      <c r="F149" s="44" t="inlineStr"/>
      <c r="G149" s="44" t="inlineStr"/>
      <c r="H149" s="44" t="inlineStr"/>
      <c r="I149" s="44" t="inlineStr"/>
    </row>
    <row r="150" ht="22" customHeight="1">
      <c r="A150" s="39" t="n">
        <v>46169</v>
      </c>
      <c r="B150" s="40" t="inlineStr">
        <is>
          <t>Wednesday</t>
        </is>
      </c>
      <c r="C150" s="40" t="inlineStr">
        <is>
          <t>Grind Day</t>
        </is>
      </c>
      <c r="D150" s="41" t="n">
        <v>0</v>
      </c>
      <c r="E150" s="40" t="inlineStr"/>
      <c r="F150" s="40" t="inlineStr"/>
      <c r="G150" s="40" t="inlineStr"/>
      <c r="H150" s="40" t="inlineStr"/>
      <c r="I150" s="40" t="inlineStr"/>
    </row>
    <row r="151" ht="22" customHeight="1">
      <c r="A151" s="48" t="n">
        <v>46170</v>
      </c>
      <c r="B151" s="49" t="inlineStr">
        <is>
          <t>Thursday</t>
        </is>
      </c>
      <c r="C151" s="49" t="inlineStr">
        <is>
          <t>Rest Day</t>
        </is>
      </c>
      <c r="D151" s="49" t="n">
        <v>0</v>
      </c>
      <c r="E151" s="49" t="inlineStr"/>
      <c r="F151" s="49" t="inlineStr"/>
      <c r="G151" s="49" t="inlineStr"/>
      <c r="H151" s="49" t="inlineStr"/>
      <c r="I151" s="49" t="inlineStr"/>
    </row>
    <row r="152" ht="22" customHeight="1">
      <c r="A152" s="39" t="n">
        <v>46171</v>
      </c>
      <c r="B152" s="40" t="inlineStr">
        <is>
          <t>Friday</t>
        </is>
      </c>
      <c r="C152" s="40" t="inlineStr">
        <is>
          <t>Grind Day</t>
        </is>
      </c>
      <c r="D152" s="41" t="n">
        <v>0</v>
      </c>
      <c r="E152" s="40" t="inlineStr"/>
      <c r="F152" s="40" t="inlineStr"/>
      <c r="G152" s="40" t="inlineStr"/>
      <c r="H152" s="40" t="inlineStr"/>
      <c r="I152" s="40" t="inlineStr"/>
    </row>
    <row r="153" ht="22" customHeight="1">
      <c r="A153" s="43" t="n">
        <v>46172</v>
      </c>
      <c r="B153" s="44" t="inlineStr">
        <is>
          <t>Saturday</t>
        </is>
      </c>
      <c r="C153" s="44" t="inlineStr">
        <is>
          <t>Grind Day</t>
        </is>
      </c>
      <c r="D153" s="41" t="n">
        <v>0</v>
      </c>
      <c r="E153" s="44" t="inlineStr"/>
      <c r="F153" s="44" t="inlineStr"/>
      <c r="G153" s="44" t="inlineStr"/>
      <c r="H153" s="44" t="inlineStr"/>
      <c r="I153" s="44" t="inlineStr"/>
    </row>
    <row r="154" ht="22" customHeight="1">
      <c r="A154" s="48" t="n">
        <v>46173</v>
      </c>
      <c r="B154" s="49" t="inlineStr">
        <is>
          <t>Sunday</t>
        </is>
      </c>
      <c r="C154" s="49" t="inlineStr">
        <is>
          <t>Rest Day</t>
        </is>
      </c>
      <c r="D154" s="49" t="n">
        <v>0</v>
      </c>
      <c r="E154" s="49" t="inlineStr"/>
      <c r="F154" s="49" t="inlineStr"/>
      <c r="G154" s="49" t="inlineStr"/>
      <c r="H154" s="49" t="inlineStr"/>
      <c r="I154" s="49" t="inlineStr"/>
    </row>
    <row r="155" ht="22" customHeight="1">
      <c r="A155" s="43" t="n">
        <v>46174</v>
      </c>
      <c r="B155" s="44" t="inlineStr">
        <is>
          <t>Monday</t>
        </is>
      </c>
      <c r="C155" s="44" t="inlineStr">
        <is>
          <t>Grind Day</t>
        </is>
      </c>
      <c r="D155" s="41" t="n">
        <v>0</v>
      </c>
      <c r="E155" s="44" t="inlineStr"/>
      <c r="F155" s="44" t="inlineStr"/>
      <c r="G155" s="44" t="inlineStr"/>
      <c r="H155" s="44" t="inlineStr"/>
      <c r="I155" s="44" t="inlineStr"/>
    </row>
    <row r="156" ht="22" customHeight="1">
      <c r="A156" s="39" t="n">
        <v>46175</v>
      </c>
      <c r="B156" s="40" t="inlineStr">
        <is>
          <t>Tuesday</t>
        </is>
      </c>
      <c r="C156" s="40" t="inlineStr">
        <is>
          <t>Grind Day</t>
        </is>
      </c>
      <c r="D156" s="41" t="n">
        <v>0</v>
      </c>
      <c r="E156" s="40" t="inlineStr"/>
      <c r="F156" s="40" t="inlineStr"/>
      <c r="G156" s="40" t="inlineStr"/>
      <c r="H156" s="40" t="inlineStr"/>
      <c r="I156" s="40" t="inlineStr"/>
    </row>
    <row r="157" ht="22" customHeight="1">
      <c r="A157" s="43" t="n">
        <v>46176</v>
      </c>
      <c r="B157" s="44" t="inlineStr">
        <is>
          <t>Wednesday</t>
        </is>
      </c>
      <c r="C157" s="44" t="inlineStr">
        <is>
          <t>Grind Day</t>
        </is>
      </c>
      <c r="D157" s="41" t="n">
        <v>0</v>
      </c>
      <c r="E157" s="44" t="inlineStr"/>
      <c r="F157" s="44" t="inlineStr"/>
      <c r="G157" s="44" t="inlineStr"/>
      <c r="H157" s="44" t="inlineStr"/>
      <c r="I157" s="44" t="inlineStr"/>
    </row>
    <row r="158" ht="22" customHeight="1">
      <c r="A158" s="48" t="n">
        <v>46177</v>
      </c>
      <c r="B158" s="49" t="inlineStr">
        <is>
          <t>Thursday</t>
        </is>
      </c>
      <c r="C158" s="49" t="inlineStr">
        <is>
          <t>Rest Day</t>
        </is>
      </c>
      <c r="D158" s="49" t="n">
        <v>0</v>
      </c>
      <c r="E158" s="49" t="inlineStr"/>
      <c r="F158" s="49" t="inlineStr"/>
      <c r="G158" s="49" t="inlineStr"/>
      <c r="H158" s="49" t="inlineStr"/>
      <c r="I158" s="49" t="inlineStr"/>
    </row>
    <row r="159" ht="22" customHeight="1">
      <c r="A159" s="43" t="n">
        <v>46178</v>
      </c>
      <c r="B159" s="44" t="inlineStr">
        <is>
          <t>Friday</t>
        </is>
      </c>
      <c r="C159" s="44" t="inlineStr">
        <is>
          <t>Grind Day</t>
        </is>
      </c>
      <c r="D159" s="41" t="n">
        <v>0</v>
      </c>
      <c r="E159" s="44" t="inlineStr"/>
      <c r="F159" s="44" t="inlineStr"/>
      <c r="G159" s="44" t="inlineStr"/>
      <c r="H159" s="44" t="inlineStr"/>
      <c r="I159" s="44" t="inlineStr"/>
    </row>
    <row r="160" ht="22" customHeight="1">
      <c r="A160" s="39" t="n">
        <v>46179</v>
      </c>
      <c r="B160" s="40" t="inlineStr">
        <is>
          <t>Saturday</t>
        </is>
      </c>
      <c r="C160" s="40" t="inlineStr">
        <is>
          <t>Grind Day</t>
        </is>
      </c>
      <c r="D160" s="41" t="n">
        <v>0</v>
      </c>
      <c r="E160" s="40" t="inlineStr"/>
      <c r="F160" s="40" t="inlineStr"/>
      <c r="G160" s="40" t="inlineStr"/>
      <c r="H160" s="40" t="inlineStr"/>
      <c r="I160" s="40" t="inlineStr"/>
    </row>
    <row r="161" ht="22" customHeight="1">
      <c r="A161" s="48" t="n">
        <v>46180</v>
      </c>
      <c r="B161" s="49" t="inlineStr">
        <is>
          <t>Sunday</t>
        </is>
      </c>
      <c r="C161" s="49" t="inlineStr">
        <is>
          <t>Rest Day</t>
        </is>
      </c>
      <c r="D161" s="49" t="n">
        <v>0</v>
      </c>
      <c r="E161" s="49" t="inlineStr"/>
      <c r="F161" s="49" t="inlineStr"/>
      <c r="G161" s="49" t="inlineStr"/>
      <c r="H161" s="49" t="inlineStr"/>
      <c r="I161" s="49" t="inlineStr"/>
    </row>
    <row r="162" ht="22" customHeight="1">
      <c r="A162" s="39" t="n">
        <v>46181</v>
      </c>
      <c r="B162" s="40" t="inlineStr">
        <is>
          <t>Monday</t>
        </is>
      </c>
      <c r="C162" s="40" t="inlineStr">
        <is>
          <t>Grind Day</t>
        </is>
      </c>
      <c r="D162" s="41" t="n">
        <v>0</v>
      </c>
      <c r="E162" s="40" t="inlineStr"/>
      <c r="F162" s="40" t="inlineStr"/>
      <c r="G162" s="40" t="inlineStr"/>
      <c r="H162" s="40" t="inlineStr"/>
      <c r="I162" s="40" t="inlineStr"/>
    </row>
    <row r="163" ht="22" customHeight="1">
      <c r="A163" s="43" t="n">
        <v>46182</v>
      </c>
      <c r="B163" s="44" t="inlineStr">
        <is>
          <t>Tuesday</t>
        </is>
      </c>
      <c r="C163" s="44" t="inlineStr">
        <is>
          <t>Grind Day</t>
        </is>
      </c>
      <c r="D163" s="41" t="n">
        <v>0</v>
      </c>
      <c r="E163" s="44" t="inlineStr"/>
      <c r="F163" s="44" t="inlineStr"/>
      <c r="G163" s="44" t="inlineStr"/>
      <c r="H163" s="44" t="inlineStr"/>
      <c r="I163" s="44" t="inlineStr"/>
    </row>
    <row r="164" ht="22" customHeight="1">
      <c r="A164" s="39" t="n">
        <v>46183</v>
      </c>
      <c r="B164" s="40" t="inlineStr">
        <is>
          <t>Wednesday</t>
        </is>
      </c>
      <c r="C164" s="40" t="inlineStr">
        <is>
          <t>Grind Day</t>
        </is>
      </c>
      <c r="D164" s="41" t="n">
        <v>0</v>
      </c>
      <c r="E164" s="40" t="inlineStr"/>
      <c r="F164" s="40" t="inlineStr"/>
      <c r="G164" s="40" t="inlineStr"/>
      <c r="H164" s="40" t="inlineStr"/>
      <c r="I164" s="40" t="inlineStr"/>
    </row>
    <row r="165" ht="22" customHeight="1">
      <c r="A165" s="48" t="n">
        <v>46184</v>
      </c>
      <c r="B165" s="49" t="inlineStr">
        <is>
          <t>Thursday</t>
        </is>
      </c>
      <c r="C165" s="49" t="inlineStr">
        <is>
          <t>Rest Day</t>
        </is>
      </c>
      <c r="D165" s="49" t="n">
        <v>0</v>
      </c>
      <c r="E165" s="49" t="inlineStr"/>
      <c r="F165" s="49" t="inlineStr"/>
      <c r="G165" s="49" t="inlineStr"/>
      <c r="H165" s="49" t="inlineStr"/>
      <c r="I165" s="49" t="inlineStr"/>
    </row>
    <row r="166" ht="22" customHeight="1">
      <c r="A166" s="39" t="n">
        <v>46185</v>
      </c>
      <c r="B166" s="40" t="inlineStr">
        <is>
          <t>Friday</t>
        </is>
      </c>
      <c r="C166" s="40" t="inlineStr">
        <is>
          <t>Grind Day</t>
        </is>
      </c>
      <c r="D166" s="41" t="n">
        <v>0</v>
      </c>
      <c r="E166" s="40" t="inlineStr"/>
      <c r="F166" s="40" t="inlineStr"/>
      <c r="G166" s="40" t="inlineStr"/>
      <c r="H166" s="40" t="inlineStr"/>
      <c r="I166" s="40" t="inlineStr"/>
    </row>
    <row r="167" ht="22" customHeight="1">
      <c r="A167" s="43" t="n">
        <v>46186</v>
      </c>
      <c r="B167" s="44" t="inlineStr">
        <is>
          <t>Saturday</t>
        </is>
      </c>
      <c r="C167" s="44" t="inlineStr">
        <is>
          <t>Grind Day</t>
        </is>
      </c>
      <c r="D167" s="41" t="n">
        <v>0</v>
      </c>
      <c r="E167" s="44" t="inlineStr"/>
      <c r="F167" s="44" t="inlineStr"/>
      <c r="G167" s="44" t="inlineStr"/>
      <c r="H167" s="44" t="inlineStr"/>
      <c r="I167" s="44" t="inlineStr"/>
    </row>
    <row r="168" ht="22" customHeight="1">
      <c r="A168" s="48" t="n">
        <v>46187</v>
      </c>
      <c r="B168" s="49" t="inlineStr">
        <is>
          <t>Sunday</t>
        </is>
      </c>
      <c r="C168" s="49" t="inlineStr">
        <is>
          <t>Rest Day</t>
        </is>
      </c>
      <c r="D168" s="49" t="n">
        <v>0</v>
      </c>
      <c r="E168" s="49" t="inlineStr"/>
      <c r="F168" s="49" t="inlineStr"/>
      <c r="G168" s="49" t="inlineStr"/>
      <c r="H168" s="49" t="inlineStr"/>
      <c r="I168" s="49" t="inlineStr"/>
    </row>
    <row r="169" ht="22" customHeight="1">
      <c r="A169" s="43" t="n">
        <v>46188</v>
      </c>
      <c r="B169" s="44" t="inlineStr">
        <is>
          <t>Monday</t>
        </is>
      </c>
      <c r="C169" s="44" t="inlineStr">
        <is>
          <t>Grind Day</t>
        </is>
      </c>
      <c r="D169" s="41" t="n">
        <v>0</v>
      </c>
      <c r="E169" s="44" t="inlineStr"/>
      <c r="F169" s="44" t="inlineStr"/>
      <c r="G169" s="44" t="inlineStr"/>
      <c r="H169" s="44" t="inlineStr"/>
      <c r="I169" s="44" t="inlineStr"/>
    </row>
    <row r="170" ht="22" customHeight="1">
      <c r="A170" s="39" t="n">
        <v>46189</v>
      </c>
      <c r="B170" s="40" t="inlineStr">
        <is>
          <t>Tuesday</t>
        </is>
      </c>
      <c r="C170" s="40" t="inlineStr">
        <is>
          <t>Grind Day</t>
        </is>
      </c>
      <c r="D170" s="41" t="n">
        <v>0</v>
      </c>
      <c r="E170" s="40" t="inlineStr"/>
      <c r="F170" s="40" t="inlineStr"/>
      <c r="G170" s="40" t="inlineStr"/>
      <c r="H170" s="40" t="inlineStr"/>
      <c r="I170" s="40" t="inlineStr"/>
    </row>
    <row r="171" ht="22" customHeight="1">
      <c r="A171" s="43" t="n">
        <v>46190</v>
      </c>
      <c r="B171" s="44" t="inlineStr">
        <is>
          <t>Wednesday</t>
        </is>
      </c>
      <c r="C171" s="44" t="inlineStr">
        <is>
          <t>Grind Day</t>
        </is>
      </c>
      <c r="D171" s="41" t="n">
        <v>0</v>
      </c>
      <c r="E171" s="44" t="inlineStr"/>
      <c r="F171" s="44" t="inlineStr"/>
      <c r="G171" s="44" t="inlineStr"/>
      <c r="H171" s="44" t="inlineStr"/>
      <c r="I171" s="44" t="inlineStr"/>
    </row>
    <row r="172" ht="22" customHeight="1">
      <c r="A172" s="48" t="n">
        <v>46191</v>
      </c>
      <c r="B172" s="49" t="inlineStr">
        <is>
          <t>Thursday</t>
        </is>
      </c>
      <c r="C172" s="49" t="inlineStr">
        <is>
          <t>Rest Day</t>
        </is>
      </c>
      <c r="D172" s="49" t="n">
        <v>0</v>
      </c>
      <c r="E172" s="49" t="inlineStr"/>
      <c r="F172" s="49" t="inlineStr"/>
      <c r="G172" s="49" t="inlineStr"/>
      <c r="H172" s="49" t="inlineStr"/>
      <c r="I172" s="49" t="inlineStr"/>
    </row>
    <row r="173" ht="22" customHeight="1">
      <c r="A173" s="43" t="n">
        <v>46192</v>
      </c>
      <c r="B173" s="44" t="inlineStr">
        <is>
          <t>Friday</t>
        </is>
      </c>
      <c r="C173" s="44" t="inlineStr">
        <is>
          <t>Grind Day</t>
        </is>
      </c>
      <c r="D173" s="41" t="n">
        <v>0</v>
      </c>
      <c r="E173" s="44" t="inlineStr"/>
      <c r="F173" s="44" t="inlineStr"/>
      <c r="G173" s="44" t="inlineStr"/>
      <c r="H173" s="44" t="inlineStr"/>
      <c r="I173" s="44" t="inlineStr"/>
    </row>
    <row r="174" ht="22" customHeight="1">
      <c r="A174" s="39" t="n">
        <v>46193</v>
      </c>
      <c r="B174" s="40" t="inlineStr">
        <is>
          <t>Saturday</t>
        </is>
      </c>
      <c r="C174" s="40" t="inlineStr">
        <is>
          <t>Grind Day</t>
        </is>
      </c>
      <c r="D174" s="41" t="n">
        <v>0</v>
      </c>
      <c r="E174" s="40" t="inlineStr"/>
      <c r="F174" s="40" t="inlineStr"/>
      <c r="G174" s="40" t="inlineStr"/>
      <c r="H174" s="40" t="inlineStr"/>
      <c r="I174" s="40" t="inlineStr"/>
    </row>
    <row r="175" ht="22" customHeight="1">
      <c r="A175" s="48" t="n">
        <v>46194</v>
      </c>
      <c r="B175" s="49" t="inlineStr">
        <is>
          <t>Sunday</t>
        </is>
      </c>
      <c r="C175" s="49" t="inlineStr">
        <is>
          <t>Rest Day</t>
        </is>
      </c>
      <c r="D175" s="49" t="n">
        <v>0</v>
      </c>
      <c r="E175" s="49" t="inlineStr"/>
      <c r="F175" s="49" t="inlineStr"/>
      <c r="G175" s="49" t="inlineStr"/>
      <c r="H175" s="49" t="inlineStr"/>
      <c r="I175" s="49" t="inlineStr"/>
    </row>
    <row r="176" ht="22" customHeight="1">
      <c r="A176" s="39" t="n">
        <v>46195</v>
      </c>
      <c r="B176" s="40" t="inlineStr">
        <is>
          <t>Monday</t>
        </is>
      </c>
      <c r="C176" s="40" t="inlineStr">
        <is>
          <t>Grind Day</t>
        </is>
      </c>
      <c r="D176" s="41" t="n">
        <v>0</v>
      </c>
      <c r="E176" s="40" t="inlineStr"/>
      <c r="F176" s="40" t="inlineStr"/>
      <c r="G176" s="40" t="inlineStr"/>
      <c r="H176" s="40" t="inlineStr"/>
      <c r="I176" s="40" t="inlineStr"/>
    </row>
    <row r="177" ht="22" customHeight="1">
      <c r="A177" s="43" t="n">
        <v>46196</v>
      </c>
      <c r="B177" s="44" t="inlineStr">
        <is>
          <t>Tuesday</t>
        </is>
      </c>
      <c r="C177" s="44" t="inlineStr">
        <is>
          <t>Grind Day</t>
        </is>
      </c>
      <c r="D177" s="41" t="n">
        <v>0</v>
      </c>
      <c r="E177" s="44" t="inlineStr"/>
      <c r="F177" s="44" t="inlineStr"/>
      <c r="G177" s="44" t="inlineStr"/>
      <c r="H177" s="44" t="inlineStr"/>
      <c r="I177" s="44" t="inlineStr"/>
    </row>
    <row r="178" ht="22" customHeight="1">
      <c r="A178" s="39" t="n">
        <v>46197</v>
      </c>
      <c r="B178" s="40" t="inlineStr">
        <is>
          <t>Wednesday</t>
        </is>
      </c>
      <c r="C178" s="40" t="inlineStr">
        <is>
          <t>Grind Day</t>
        </is>
      </c>
      <c r="D178" s="41" t="n">
        <v>0</v>
      </c>
      <c r="E178" s="40" t="inlineStr"/>
      <c r="F178" s="40" t="inlineStr"/>
      <c r="G178" s="40" t="inlineStr"/>
      <c r="H178" s="40" t="inlineStr"/>
      <c r="I178" s="40" t="inlineStr"/>
    </row>
    <row r="179" ht="22" customHeight="1">
      <c r="A179" s="48" t="n">
        <v>46198</v>
      </c>
      <c r="B179" s="49" t="inlineStr">
        <is>
          <t>Thursday</t>
        </is>
      </c>
      <c r="C179" s="49" t="inlineStr">
        <is>
          <t>Rest Day</t>
        </is>
      </c>
      <c r="D179" s="49" t="n">
        <v>0</v>
      </c>
      <c r="E179" s="49" t="inlineStr"/>
      <c r="F179" s="49" t="inlineStr"/>
      <c r="G179" s="49" t="inlineStr"/>
      <c r="H179" s="49" t="inlineStr"/>
      <c r="I179" s="49" t="inlineStr"/>
    </row>
    <row r="180" ht="22" customHeight="1">
      <c r="A180" s="39" t="n">
        <v>46199</v>
      </c>
      <c r="B180" s="40" t="inlineStr">
        <is>
          <t>Friday</t>
        </is>
      </c>
      <c r="C180" s="40" t="inlineStr">
        <is>
          <t>Grind Day</t>
        </is>
      </c>
      <c r="D180" s="41" t="n">
        <v>0</v>
      </c>
      <c r="E180" s="40" t="inlineStr"/>
      <c r="F180" s="40" t="inlineStr"/>
      <c r="G180" s="40" t="inlineStr"/>
      <c r="H180" s="40" t="inlineStr"/>
      <c r="I180" s="40" t="inlineStr"/>
    </row>
    <row r="181" ht="22" customHeight="1">
      <c r="A181" s="43" t="n">
        <v>46200</v>
      </c>
      <c r="B181" s="44" t="inlineStr">
        <is>
          <t>Saturday</t>
        </is>
      </c>
      <c r="C181" s="44" t="inlineStr">
        <is>
          <t>Grind Day</t>
        </is>
      </c>
      <c r="D181" s="41" t="n">
        <v>0</v>
      </c>
      <c r="E181" s="44" t="inlineStr"/>
      <c r="F181" s="44" t="inlineStr"/>
      <c r="G181" s="44" t="inlineStr"/>
      <c r="H181" s="44" t="inlineStr"/>
      <c r="I181" s="44" t="inlineStr"/>
    </row>
    <row r="182" ht="22" customHeight="1">
      <c r="A182" s="48" t="n">
        <v>46201</v>
      </c>
      <c r="B182" s="49" t="inlineStr">
        <is>
          <t>Sunday</t>
        </is>
      </c>
      <c r="C182" s="49" t="inlineStr">
        <is>
          <t>Rest Day</t>
        </is>
      </c>
      <c r="D182" s="49" t="n">
        <v>0</v>
      </c>
      <c r="E182" s="49" t="inlineStr"/>
      <c r="F182" s="49" t="inlineStr"/>
      <c r="G182" s="49" t="inlineStr"/>
      <c r="H182" s="49" t="inlineStr"/>
      <c r="I182" s="49" t="inlineStr"/>
    </row>
    <row r="183" ht="22" customHeight="1">
      <c r="A183" s="43" t="n">
        <v>46202</v>
      </c>
      <c r="B183" s="44" t="inlineStr">
        <is>
          <t>Monday</t>
        </is>
      </c>
      <c r="C183" s="44" t="inlineStr">
        <is>
          <t>Grind Day</t>
        </is>
      </c>
      <c r="D183" s="41" t="n">
        <v>0</v>
      </c>
      <c r="E183" s="44" t="inlineStr"/>
      <c r="F183" s="44" t="inlineStr"/>
      <c r="G183" s="44" t="inlineStr"/>
      <c r="H183" s="44" t="inlineStr"/>
      <c r="I183" s="44" t="inlineStr"/>
    </row>
    <row r="184" ht="22" customHeight="1">
      <c r="A184" s="39" t="n">
        <v>46203</v>
      </c>
      <c r="B184" s="40" t="inlineStr">
        <is>
          <t>Tuesday</t>
        </is>
      </c>
      <c r="C184" s="40" t="inlineStr">
        <is>
          <t>Grind Day</t>
        </is>
      </c>
      <c r="D184" s="41" t="n">
        <v>0</v>
      </c>
      <c r="E184" s="40" t="inlineStr"/>
      <c r="F184" s="40" t="inlineStr"/>
      <c r="G184" s="40" t="inlineStr"/>
      <c r="H184" s="40" t="inlineStr"/>
      <c r="I184" s="40" t="inlineStr"/>
    </row>
    <row r="185" ht="22" customHeight="1">
      <c r="A185" s="43" t="n">
        <v>46204</v>
      </c>
      <c r="B185" s="44" t="inlineStr">
        <is>
          <t>Wednesday</t>
        </is>
      </c>
      <c r="C185" s="44" t="inlineStr">
        <is>
          <t>Grind Day</t>
        </is>
      </c>
      <c r="D185" s="41" t="n">
        <v>0</v>
      </c>
      <c r="E185" s="44" t="inlineStr"/>
      <c r="F185" s="44" t="inlineStr"/>
      <c r="G185" s="44" t="inlineStr"/>
      <c r="H185" s="44" t="inlineStr"/>
      <c r="I185" s="44" t="inlineStr"/>
    </row>
    <row r="186" ht="22" customHeight="1">
      <c r="A186" s="48" t="n">
        <v>46205</v>
      </c>
      <c r="B186" s="49" t="inlineStr">
        <is>
          <t>Thursday</t>
        </is>
      </c>
      <c r="C186" s="49" t="inlineStr">
        <is>
          <t>Rest Day</t>
        </is>
      </c>
      <c r="D186" s="49" t="n">
        <v>0</v>
      </c>
      <c r="E186" s="49" t="inlineStr"/>
      <c r="F186" s="49" t="inlineStr"/>
      <c r="G186" s="49" t="inlineStr"/>
      <c r="H186" s="49" t="inlineStr"/>
      <c r="I186" s="49" t="inlineStr"/>
    </row>
    <row r="187" ht="22" customHeight="1">
      <c r="A187" s="43" t="n">
        <v>46206</v>
      </c>
      <c r="B187" s="44" t="inlineStr">
        <is>
          <t>Friday</t>
        </is>
      </c>
      <c r="C187" s="44" t="inlineStr">
        <is>
          <t>Grind Day</t>
        </is>
      </c>
      <c r="D187" s="41" t="n">
        <v>0</v>
      </c>
      <c r="E187" s="44" t="inlineStr"/>
      <c r="F187" s="44" t="inlineStr"/>
      <c r="G187" s="44" t="inlineStr"/>
      <c r="H187" s="44" t="inlineStr"/>
      <c r="I187" s="44" t="inlineStr"/>
    </row>
    <row r="188" ht="22" customHeight="1">
      <c r="A188" s="39" t="n">
        <v>46207</v>
      </c>
      <c r="B188" s="40" t="inlineStr">
        <is>
          <t>Saturday</t>
        </is>
      </c>
      <c r="C188" s="40" t="inlineStr">
        <is>
          <t>Grind Day</t>
        </is>
      </c>
      <c r="D188" s="41" t="n">
        <v>0</v>
      </c>
      <c r="E188" s="40" t="inlineStr"/>
      <c r="F188" s="40" t="inlineStr"/>
      <c r="G188" s="40" t="inlineStr"/>
      <c r="H188" s="40" t="inlineStr"/>
      <c r="I188" s="40" t="inlineStr"/>
    </row>
    <row r="189" ht="22" customHeight="1">
      <c r="A189" s="48" t="n">
        <v>46208</v>
      </c>
      <c r="B189" s="49" t="inlineStr">
        <is>
          <t>Sunday</t>
        </is>
      </c>
      <c r="C189" s="49" t="inlineStr">
        <is>
          <t>Rest Day</t>
        </is>
      </c>
      <c r="D189" s="49" t="n">
        <v>0</v>
      </c>
      <c r="E189" s="49" t="inlineStr"/>
      <c r="F189" s="49" t="inlineStr"/>
      <c r="G189" s="49" t="inlineStr"/>
      <c r="H189" s="49" t="inlineStr"/>
      <c r="I189" s="49" t="inlineStr"/>
    </row>
    <row r="190" ht="22" customHeight="1">
      <c r="A190" s="39" t="n">
        <v>46209</v>
      </c>
      <c r="B190" s="40" t="inlineStr">
        <is>
          <t>Monday</t>
        </is>
      </c>
      <c r="C190" s="40" t="inlineStr">
        <is>
          <t>Grind Day</t>
        </is>
      </c>
      <c r="D190" s="41" t="n">
        <v>0</v>
      </c>
      <c r="E190" s="40" t="inlineStr"/>
      <c r="F190" s="40" t="inlineStr"/>
      <c r="G190" s="40" t="inlineStr"/>
      <c r="H190" s="40" t="inlineStr"/>
      <c r="I190" s="40" t="inlineStr"/>
    </row>
    <row r="191" ht="22" customHeight="1">
      <c r="A191" s="43" t="n">
        <v>46210</v>
      </c>
      <c r="B191" s="44" t="inlineStr">
        <is>
          <t>Tuesday</t>
        </is>
      </c>
      <c r="C191" s="44" t="inlineStr">
        <is>
          <t>Grind Day</t>
        </is>
      </c>
      <c r="D191" s="41" t="n">
        <v>0</v>
      </c>
      <c r="E191" s="44" t="inlineStr"/>
      <c r="F191" s="44" t="inlineStr"/>
      <c r="G191" s="44" t="inlineStr"/>
      <c r="H191" s="44" t="inlineStr"/>
      <c r="I191" s="44" t="inlineStr"/>
    </row>
    <row r="192" ht="22" customHeight="1">
      <c r="A192" s="39" t="n">
        <v>46211</v>
      </c>
      <c r="B192" s="40" t="inlineStr">
        <is>
          <t>Wednesday</t>
        </is>
      </c>
      <c r="C192" s="40" t="inlineStr">
        <is>
          <t>Grind Day</t>
        </is>
      </c>
      <c r="D192" s="41" t="n">
        <v>0</v>
      </c>
      <c r="E192" s="40" t="inlineStr"/>
      <c r="F192" s="40" t="inlineStr"/>
      <c r="G192" s="40" t="inlineStr"/>
      <c r="H192" s="40" t="inlineStr"/>
      <c r="I192" s="40" t="inlineStr"/>
    </row>
    <row r="193" ht="22" customHeight="1">
      <c r="A193" s="48" t="n">
        <v>46212</v>
      </c>
      <c r="B193" s="49" t="inlineStr">
        <is>
          <t>Thursday</t>
        </is>
      </c>
      <c r="C193" s="49" t="inlineStr">
        <is>
          <t>Rest Day</t>
        </is>
      </c>
      <c r="D193" s="49" t="n">
        <v>0</v>
      </c>
      <c r="E193" s="49" t="inlineStr"/>
      <c r="F193" s="49" t="inlineStr"/>
      <c r="G193" s="49" t="inlineStr"/>
      <c r="H193" s="49" t="inlineStr"/>
      <c r="I193" s="49" t="inlineStr"/>
    </row>
    <row r="194" ht="22" customHeight="1">
      <c r="A194" s="39" t="n">
        <v>46213</v>
      </c>
      <c r="B194" s="40" t="inlineStr">
        <is>
          <t>Friday</t>
        </is>
      </c>
      <c r="C194" s="40" t="inlineStr">
        <is>
          <t>Grind Day</t>
        </is>
      </c>
      <c r="D194" s="41" t="n">
        <v>0</v>
      </c>
      <c r="E194" s="40" t="inlineStr"/>
      <c r="F194" s="40" t="inlineStr"/>
      <c r="G194" s="40" t="inlineStr"/>
      <c r="H194" s="40" t="inlineStr"/>
      <c r="I194" s="40" t="inlineStr"/>
    </row>
    <row r="195" ht="22" customHeight="1">
      <c r="A195" s="43" t="n">
        <v>46214</v>
      </c>
      <c r="B195" s="44" t="inlineStr">
        <is>
          <t>Saturday</t>
        </is>
      </c>
      <c r="C195" s="44" t="inlineStr">
        <is>
          <t>Grind Day</t>
        </is>
      </c>
      <c r="D195" s="41" t="n">
        <v>0</v>
      </c>
      <c r="E195" s="44" t="inlineStr"/>
      <c r="F195" s="44" t="inlineStr"/>
      <c r="G195" s="44" t="inlineStr"/>
      <c r="H195" s="44" t="inlineStr"/>
      <c r="I195" s="44" t="inlineStr"/>
    </row>
    <row r="196" ht="22" customHeight="1">
      <c r="A196" s="48" t="n">
        <v>46215</v>
      </c>
      <c r="B196" s="49" t="inlineStr">
        <is>
          <t>Sunday</t>
        </is>
      </c>
      <c r="C196" s="49" t="inlineStr">
        <is>
          <t>Rest Day</t>
        </is>
      </c>
      <c r="D196" s="49" t="n">
        <v>0</v>
      </c>
      <c r="E196" s="49" t="inlineStr"/>
      <c r="F196" s="49" t="inlineStr"/>
      <c r="G196" s="49" t="inlineStr"/>
      <c r="H196" s="49" t="inlineStr"/>
      <c r="I196" s="49" t="inlineStr"/>
    </row>
    <row r="197" ht="22" customHeight="1">
      <c r="A197" s="43" t="n">
        <v>46216</v>
      </c>
      <c r="B197" s="44" t="inlineStr">
        <is>
          <t>Monday</t>
        </is>
      </c>
      <c r="C197" s="44" t="inlineStr">
        <is>
          <t>Grind Day</t>
        </is>
      </c>
      <c r="D197" s="41" t="n">
        <v>0</v>
      </c>
      <c r="E197" s="44" t="inlineStr"/>
      <c r="F197" s="44" t="inlineStr"/>
      <c r="G197" s="44" t="inlineStr"/>
      <c r="H197" s="44" t="inlineStr"/>
      <c r="I197" s="44" t="inlineStr"/>
    </row>
    <row r="198" ht="22" customHeight="1">
      <c r="A198" s="39" t="n">
        <v>46217</v>
      </c>
      <c r="B198" s="40" t="inlineStr">
        <is>
          <t>Tuesday</t>
        </is>
      </c>
      <c r="C198" s="40" t="inlineStr">
        <is>
          <t>Grind Day</t>
        </is>
      </c>
      <c r="D198" s="41" t="n">
        <v>0</v>
      </c>
      <c r="E198" s="40" t="inlineStr"/>
      <c r="F198" s="40" t="inlineStr"/>
      <c r="G198" s="40" t="inlineStr"/>
      <c r="H198" s="40" t="inlineStr"/>
      <c r="I198" s="40" t="inlineStr"/>
    </row>
    <row r="199" ht="22" customHeight="1">
      <c r="A199" s="43" t="n">
        <v>46218</v>
      </c>
      <c r="B199" s="44" t="inlineStr">
        <is>
          <t>Wednesday</t>
        </is>
      </c>
      <c r="C199" s="44" t="inlineStr">
        <is>
          <t>Grind Day</t>
        </is>
      </c>
      <c r="D199" s="41" t="n">
        <v>0</v>
      </c>
      <c r="E199" s="44" t="inlineStr"/>
      <c r="F199" s="44" t="inlineStr"/>
      <c r="G199" s="44" t="inlineStr"/>
      <c r="H199" s="44" t="inlineStr"/>
      <c r="I199" s="44" t="inlineStr"/>
    </row>
    <row r="200" ht="22" customHeight="1">
      <c r="A200" s="48" t="n">
        <v>46219</v>
      </c>
      <c r="B200" s="49" t="inlineStr">
        <is>
          <t>Thursday</t>
        </is>
      </c>
      <c r="C200" s="49" t="inlineStr">
        <is>
          <t>Rest Day</t>
        </is>
      </c>
      <c r="D200" s="49" t="n">
        <v>0</v>
      </c>
      <c r="E200" s="49" t="inlineStr"/>
      <c r="F200" s="49" t="inlineStr"/>
      <c r="G200" s="49" t="inlineStr"/>
      <c r="H200" s="49" t="inlineStr"/>
      <c r="I200" s="49" t="inlineStr"/>
    </row>
    <row r="201" ht="22" customHeight="1">
      <c r="A201" s="43" t="n">
        <v>46220</v>
      </c>
      <c r="B201" s="44" t="inlineStr">
        <is>
          <t>Friday</t>
        </is>
      </c>
      <c r="C201" s="44" t="inlineStr">
        <is>
          <t>Grind Day</t>
        </is>
      </c>
      <c r="D201" s="41" t="n">
        <v>0</v>
      </c>
      <c r="E201" s="44" t="inlineStr"/>
      <c r="F201" s="44" t="inlineStr"/>
      <c r="G201" s="44" t="inlineStr"/>
      <c r="H201" s="44" t="inlineStr"/>
      <c r="I201" s="44" t="inlineStr"/>
    </row>
    <row r="202" ht="22" customHeight="1">
      <c r="A202" s="39" t="n">
        <v>46221</v>
      </c>
      <c r="B202" s="40" t="inlineStr">
        <is>
          <t>Saturday</t>
        </is>
      </c>
      <c r="C202" s="40" t="inlineStr">
        <is>
          <t>Grind Day</t>
        </is>
      </c>
      <c r="D202" s="41" t="n">
        <v>0</v>
      </c>
      <c r="E202" s="40" t="inlineStr"/>
      <c r="F202" s="40" t="inlineStr"/>
      <c r="G202" s="40" t="inlineStr"/>
      <c r="H202" s="40" t="inlineStr"/>
      <c r="I202" s="40" t="inlineStr"/>
    </row>
    <row r="203" ht="22" customHeight="1">
      <c r="A203" s="48" t="n">
        <v>46222</v>
      </c>
      <c r="B203" s="49" t="inlineStr">
        <is>
          <t>Sunday</t>
        </is>
      </c>
      <c r="C203" s="49" t="inlineStr">
        <is>
          <t>Rest Day</t>
        </is>
      </c>
      <c r="D203" s="49" t="n">
        <v>0</v>
      </c>
      <c r="E203" s="49" t="inlineStr"/>
      <c r="F203" s="49" t="inlineStr"/>
      <c r="G203" s="49" t="inlineStr"/>
      <c r="H203" s="49" t="inlineStr"/>
      <c r="I203" s="49" t="inlineStr"/>
    </row>
    <row r="204" ht="22" customHeight="1">
      <c r="A204" s="39" t="n">
        <v>46223</v>
      </c>
      <c r="B204" s="40" t="inlineStr">
        <is>
          <t>Monday</t>
        </is>
      </c>
      <c r="C204" s="40" t="inlineStr">
        <is>
          <t>Grind Day</t>
        </is>
      </c>
      <c r="D204" s="41" t="n">
        <v>0</v>
      </c>
      <c r="E204" s="40" t="inlineStr"/>
      <c r="F204" s="40" t="inlineStr"/>
      <c r="G204" s="40" t="inlineStr"/>
      <c r="H204" s="40" t="inlineStr"/>
      <c r="I204" s="40" t="inlineStr"/>
    </row>
    <row r="205" ht="22" customHeight="1">
      <c r="A205" s="43" t="n">
        <v>46224</v>
      </c>
      <c r="B205" s="44" t="inlineStr">
        <is>
          <t>Tuesday</t>
        </is>
      </c>
      <c r="C205" s="44" t="inlineStr">
        <is>
          <t>Grind Day</t>
        </is>
      </c>
      <c r="D205" s="41" t="n">
        <v>0</v>
      </c>
      <c r="E205" s="44" t="inlineStr"/>
      <c r="F205" s="44" t="inlineStr"/>
      <c r="G205" s="44" t="inlineStr"/>
      <c r="H205" s="44" t="inlineStr"/>
      <c r="I205" s="44" t="inlineStr"/>
    </row>
    <row r="206" ht="22" customHeight="1">
      <c r="A206" s="39" t="n">
        <v>46225</v>
      </c>
      <c r="B206" s="40" t="inlineStr">
        <is>
          <t>Wednesday</t>
        </is>
      </c>
      <c r="C206" s="40" t="inlineStr">
        <is>
          <t>Grind Day</t>
        </is>
      </c>
      <c r="D206" s="41" t="n">
        <v>0</v>
      </c>
      <c r="E206" s="40" t="inlineStr"/>
      <c r="F206" s="40" t="inlineStr"/>
      <c r="G206" s="40" t="inlineStr"/>
      <c r="H206" s="40" t="inlineStr"/>
      <c r="I206" s="40" t="inlineStr"/>
    </row>
    <row r="207" ht="22" customHeight="1">
      <c r="A207" s="48" t="n">
        <v>46226</v>
      </c>
      <c r="B207" s="49" t="inlineStr">
        <is>
          <t>Thursday</t>
        </is>
      </c>
      <c r="C207" s="49" t="inlineStr">
        <is>
          <t>Rest Day</t>
        </is>
      </c>
      <c r="D207" s="49" t="n">
        <v>0</v>
      </c>
      <c r="E207" s="49" t="inlineStr"/>
      <c r="F207" s="49" t="inlineStr"/>
      <c r="G207" s="49" t="inlineStr"/>
      <c r="H207" s="49" t="inlineStr"/>
      <c r="I207" s="49" t="inlineStr"/>
    </row>
    <row r="208" ht="22" customHeight="1">
      <c r="A208" s="39" t="n">
        <v>46227</v>
      </c>
      <c r="B208" s="40" t="inlineStr">
        <is>
          <t>Friday</t>
        </is>
      </c>
      <c r="C208" s="40" t="inlineStr">
        <is>
          <t>Grind Day</t>
        </is>
      </c>
      <c r="D208" s="41" t="n">
        <v>0</v>
      </c>
      <c r="E208" s="40" t="inlineStr"/>
      <c r="F208" s="40" t="inlineStr"/>
      <c r="G208" s="40" t="inlineStr"/>
      <c r="H208" s="40" t="inlineStr"/>
      <c r="I208" s="40" t="inlineStr"/>
    </row>
    <row r="209" ht="22" customHeight="1">
      <c r="A209" s="43" t="n">
        <v>46228</v>
      </c>
      <c r="B209" s="44" t="inlineStr">
        <is>
          <t>Saturday</t>
        </is>
      </c>
      <c r="C209" s="44" t="inlineStr">
        <is>
          <t>Grind Day</t>
        </is>
      </c>
      <c r="D209" s="41" t="n">
        <v>0</v>
      </c>
      <c r="E209" s="44" t="inlineStr"/>
      <c r="F209" s="44" t="inlineStr"/>
      <c r="G209" s="44" t="inlineStr"/>
      <c r="H209" s="44" t="inlineStr"/>
      <c r="I209" s="44" t="inlineStr"/>
    </row>
    <row r="210" ht="22" customHeight="1">
      <c r="A210" s="48" t="n">
        <v>46229</v>
      </c>
      <c r="B210" s="49" t="inlineStr">
        <is>
          <t>Sunday</t>
        </is>
      </c>
      <c r="C210" s="49" t="inlineStr">
        <is>
          <t>Rest Day</t>
        </is>
      </c>
      <c r="D210" s="49" t="n">
        <v>0</v>
      </c>
      <c r="E210" s="49" t="inlineStr"/>
      <c r="F210" s="49" t="inlineStr"/>
      <c r="G210" s="49" t="inlineStr"/>
      <c r="H210" s="49" t="inlineStr"/>
      <c r="I210" s="49" t="inlineStr"/>
    </row>
    <row r="211" ht="22" customHeight="1">
      <c r="A211" s="43" t="n">
        <v>46230</v>
      </c>
      <c r="B211" s="44" t="inlineStr">
        <is>
          <t>Monday</t>
        </is>
      </c>
      <c r="C211" s="44" t="inlineStr">
        <is>
          <t>Grind Day</t>
        </is>
      </c>
      <c r="D211" s="41" t="n">
        <v>0</v>
      </c>
      <c r="E211" s="44" t="inlineStr"/>
      <c r="F211" s="44" t="inlineStr"/>
      <c r="G211" s="44" t="inlineStr"/>
      <c r="H211" s="44" t="inlineStr"/>
      <c r="I211" s="44" t="inlineStr"/>
    </row>
    <row r="212" ht="22" customHeight="1">
      <c r="A212" s="39" t="n">
        <v>46231</v>
      </c>
      <c r="B212" s="40" t="inlineStr">
        <is>
          <t>Tuesday</t>
        </is>
      </c>
      <c r="C212" s="40" t="inlineStr">
        <is>
          <t>Grind Day</t>
        </is>
      </c>
      <c r="D212" s="41" t="n">
        <v>0</v>
      </c>
      <c r="E212" s="40" t="inlineStr"/>
      <c r="F212" s="40" t="inlineStr"/>
      <c r="G212" s="40" t="inlineStr"/>
      <c r="H212" s="40" t="inlineStr"/>
      <c r="I212" s="40" t="inlineStr"/>
    </row>
    <row r="213" ht="22" customHeight="1">
      <c r="A213" s="43" t="n">
        <v>46232</v>
      </c>
      <c r="B213" s="44" t="inlineStr">
        <is>
          <t>Wednesday</t>
        </is>
      </c>
      <c r="C213" s="44" t="inlineStr">
        <is>
          <t>Grind Day</t>
        </is>
      </c>
      <c r="D213" s="41" t="n">
        <v>0</v>
      </c>
      <c r="E213" s="44" t="inlineStr"/>
      <c r="F213" s="44" t="inlineStr"/>
      <c r="G213" s="44" t="inlineStr"/>
      <c r="H213" s="44" t="inlineStr"/>
      <c r="I213" s="44" t="inlineStr"/>
    </row>
    <row r="214" ht="22" customHeight="1">
      <c r="A214" s="48" t="n">
        <v>46233</v>
      </c>
      <c r="B214" s="49" t="inlineStr">
        <is>
          <t>Thursday</t>
        </is>
      </c>
      <c r="C214" s="49" t="inlineStr">
        <is>
          <t>Rest Day</t>
        </is>
      </c>
      <c r="D214" s="49" t="n">
        <v>0</v>
      </c>
      <c r="E214" s="49" t="inlineStr"/>
      <c r="F214" s="49" t="inlineStr"/>
      <c r="G214" s="49" t="inlineStr"/>
      <c r="H214" s="49" t="inlineStr"/>
      <c r="I214" s="49" t="inlineStr"/>
    </row>
    <row r="215" ht="22" customHeight="1">
      <c r="A215" s="43" t="n">
        <v>46234</v>
      </c>
      <c r="B215" s="44" t="inlineStr">
        <is>
          <t>Friday</t>
        </is>
      </c>
      <c r="C215" s="44" t="inlineStr">
        <is>
          <t>Grind Day</t>
        </is>
      </c>
      <c r="D215" s="41" t="n">
        <v>0</v>
      </c>
      <c r="E215" s="44" t="inlineStr"/>
      <c r="F215" s="44" t="inlineStr"/>
      <c r="G215" s="44" t="inlineStr"/>
      <c r="H215" s="44" t="inlineStr"/>
      <c r="I215" s="44" t="inlineStr"/>
    </row>
    <row r="216" ht="22" customHeight="1">
      <c r="A216" s="39" t="n">
        <v>46235</v>
      </c>
      <c r="B216" s="40" t="inlineStr">
        <is>
          <t>Saturday</t>
        </is>
      </c>
      <c r="C216" s="40" t="inlineStr">
        <is>
          <t>Grind Day</t>
        </is>
      </c>
      <c r="D216" s="41" t="n">
        <v>0</v>
      </c>
      <c r="E216" s="40" t="inlineStr"/>
      <c r="F216" s="40" t="inlineStr"/>
      <c r="G216" s="40" t="inlineStr"/>
      <c r="H216" s="40" t="inlineStr"/>
      <c r="I216" s="40" t="inlineStr"/>
    </row>
    <row r="217" ht="22" customHeight="1">
      <c r="A217" s="48" t="n">
        <v>46236</v>
      </c>
      <c r="B217" s="49" t="inlineStr">
        <is>
          <t>Sunday</t>
        </is>
      </c>
      <c r="C217" s="49" t="inlineStr">
        <is>
          <t>Rest Day</t>
        </is>
      </c>
      <c r="D217" s="49" t="n">
        <v>0</v>
      </c>
      <c r="E217" s="49" t="inlineStr"/>
      <c r="F217" s="49" t="inlineStr"/>
      <c r="G217" s="49" t="inlineStr"/>
      <c r="H217" s="49" t="inlineStr"/>
      <c r="I217" s="49" t="inlineStr"/>
    </row>
    <row r="218" ht="22" customHeight="1">
      <c r="A218" s="39" t="n">
        <v>46237</v>
      </c>
      <c r="B218" s="40" t="inlineStr">
        <is>
          <t>Monday</t>
        </is>
      </c>
      <c r="C218" s="40" t="inlineStr">
        <is>
          <t>Grind Day</t>
        </is>
      </c>
      <c r="D218" s="41" t="n">
        <v>0</v>
      </c>
      <c r="E218" s="40" t="inlineStr"/>
      <c r="F218" s="40" t="inlineStr"/>
      <c r="G218" s="40" t="inlineStr"/>
      <c r="H218" s="40" t="inlineStr"/>
      <c r="I218" s="40" t="inlineStr"/>
    </row>
    <row r="219" ht="22" customHeight="1">
      <c r="A219" s="43" t="n">
        <v>46238</v>
      </c>
      <c r="B219" s="44" t="inlineStr">
        <is>
          <t>Tuesday</t>
        </is>
      </c>
      <c r="C219" s="44" t="inlineStr">
        <is>
          <t>Grind Day</t>
        </is>
      </c>
      <c r="D219" s="41" t="n">
        <v>0</v>
      </c>
      <c r="E219" s="44" t="inlineStr"/>
      <c r="F219" s="44" t="inlineStr"/>
      <c r="G219" s="44" t="inlineStr"/>
      <c r="H219" s="44" t="inlineStr"/>
      <c r="I219" s="44" t="inlineStr"/>
    </row>
    <row r="220" ht="22" customHeight="1">
      <c r="A220" s="39" t="n">
        <v>46239</v>
      </c>
      <c r="B220" s="40" t="inlineStr">
        <is>
          <t>Wednesday</t>
        </is>
      </c>
      <c r="C220" s="40" t="inlineStr">
        <is>
          <t>Grind Day</t>
        </is>
      </c>
      <c r="D220" s="41" t="n">
        <v>0</v>
      </c>
      <c r="E220" s="40" t="inlineStr"/>
      <c r="F220" s="40" t="inlineStr"/>
      <c r="G220" s="40" t="inlineStr"/>
      <c r="H220" s="40" t="inlineStr"/>
      <c r="I220" s="40" t="inlineStr"/>
    </row>
    <row r="221" ht="22" customHeight="1">
      <c r="A221" s="48" t="n">
        <v>46240</v>
      </c>
      <c r="B221" s="49" t="inlineStr">
        <is>
          <t>Thursday</t>
        </is>
      </c>
      <c r="C221" s="49" t="inlineStr">
        <is>
          <t>Rest Day</t>
        </is>
      </c>
      <c r="D221" s="49" t="n">
        <v>0</v>
      </c>
      <c r="E221" s="49" t="inlineStr"/>
      <c r="F221" s="49" t="inlineStr"/>
      <c r="G221" s="49" t="inlineStr"/>
      <c r="H221" s="49" t="inlineStr"/>
      <c r="I221" s="49" t="inlineStr"/>
    </row>
    <row r="222" ht="22" customHeight="1">
      <c r="A222" s="39" t="n">
        <v>46241</v>
      </c>
      <c r="B222" s="40" t="inlineStr">
        <is>
          <t>Friday</t>
        </is>
      </c>
      <c r="C222" s="40" t="inlineStr">
        <is>
          <t>Grind Day</t>
        </is>
      </c>
      <c r="D222" s="41" t="n">
        <v>0</v>
      </c>
      <c r="E222" s="40" t="inlineStr"/>
      <c r="F222" s="40" t="inlineStr"/>
      <c r="G222" s="40" t="inlineStr"/>
      <c r="H222" s="40" t="inlineStr"/>
      <c r="I222" s="40" t="inlineStr"/>
    </row>
    <row r="223" ht="22" customHeight="1">
      <c r="A223" s="43" t="n">
        <v>46242</v>
      </c>
      <c r="B223" s="44" t="inlineStr">
        <is>
          <t>Saturday</t>
        </is>
      </c>
      <c r="C223" s="44" t="inlineStr">
        <is>
          <t>Grind Day</t>
        </is>
      </c>
      <c r="D223" s="41" t="n">
        <v>0</v>
      </c>
      <c r="E223" s="44" t="inlineStr"/>
      <c r="F223" s="44" t="inlineStr"/>
      <c r="G223" s="44" t="inlineStr"/>
      <c r="H223" s="44" t="inlineStr"/>
      <c r="I223" s="44" t="inlineStr"/>
    </row>
    <row r="224" ht="22" customHeight="1">
      <c r="A224" s="48" t="n">
        <v>46243</v>
      </c>
      <c r="B224" s="49" t="inlineStr">
        <is>
          <t>Sunday</t>
        </is>
      </c>
      <c r="C224" s="49" t="inlineStr">
        <is>
          <t>Rest Day</t>
        </is>
      </c>
      <c r="D224" s="49" t="n">
        <v>0</v>
      </c>
      <c r="E224" s="49" t="inlineStr"/>
      <c r="F224" s="49" t="inlineStr"/>
      <c r="G224" s="49" t="inlineStr"/>
      <c r="H224" s="49" t="inlineStr"/>
      <c r="I224" s="49" t="inlineStr"/>
    </row>
    <row r="225" ht="22" customHeight="1">
      <c r="A225" s="43" t="n">
        <v>46244</v>
      </c>
      <c r="B225" s="44" t="inlineStr">
        <is>
          <t>Monday</t>
        </is>
      </c>
      <c r="C225" s="44" t="inlineStr">
        <is>
          <t>Grind Day</t>
        </is>
      </c>
      <c r="D225" s="41" t="n">
        <v>0</v>
      </c>
      <c r="E225" s="44" t="inlineStr"/>
      <c r="F225" s="44" t="inlineStr"/>
      <c r="G225" s="44" t="inlineStr"/>
      <c r="H225" s="44" t="inlineStr"/>
      <c r="I225" s="44" t="inlineStr"/>
    </row>
    <row r="226" ht="22" customHeight="1">
      <c r="A226" s="39" t="n">
        <v>46245</v>
      </c>
      <c r="B226" s="40" t="inlineStr">
        <is>
          <t>Tuesday</t>
        </is>
      </c>
      <c r="C226" s="40" t="inlineStr">
        <is>
          <t>Grind Day</t>
        </is>
      </c>
      <c r="D226" s="41" t="n">
        <v>0</v>
      </c>
      <c r="E226" s="40" t="inlineStr"/>
      <c r="F226" s="40" t="inlineStr"/>
      <c r="G226" s="40" t="inlineStr"/>
      <c r="H226" s="40" t="inlineStr"/>
      <c r="I226" s="40" t="inlineStr"/>
    </row>
    <row r="227" ht="22" customHeight="1">
      <c r="A227" s="43" t="n">
        <v>46246</v>
      </c>
      <c r="B227" s="44" t="inlineStr">
        <is>
          <t>Wednesday</t>
        </is>
      </c>
      <c r="C227" s="44" t="inlineStr">
        <is>
          <t>Grind Day</t>
        </is>
      </c>
      <c r="D227" s="41" t="n">
        <v>0</v>
      </c>
      <c r="E227" s="44" t="inlineStr"/>
      <c r="F227" s="44" t="inlineStr"/>
      <c r="G227" s="44" t="inlineStr"/>
      <c r="H227" s="44" t="inlineStr"/>
      <c r="I227" s="44" t="inlineStr"/>
    </row>
    <row r="228" ht="22" customHeight="1">
      <c r="A228" s="48" t="n">
        <v>46247</v>
      </c>
      <c r="B228" s="49" t="inlineStr">
        <is>
          <t>Thursday</t>
        </is>
      </c>
      <c r="C228" s="49" t="inlineStr">
        <is>
          <t>Rest Day</t>
        </is>
      </c>
      <c r="D228" s="49" t="n">
        <v>0</v>
      </c>
      <c r="E228" s="49" t="inlineStr"/>
      <c r="F228" s="49" t="inlineStr"/>
      <c r="G228" s="49" t="inlineStr"/>
      <c r="H228" s="49" t="inlineStr"/>
      <c r="I228" s="49" t="inlineStr"/>
    </row>
    <row r="229" ht="22" customHeight="1">
      <c r="A229" s="43" t="n">
        <v>46248</v>
      </c>
      <c r="B229" s="44" t="inlineStr">
        <is>
          <t>Friday</t>
        </is>
      </c>
      <c r="C229" s="44" t="inlineStr">
        <is>
          <t>Grind Day</t>
        </is>
      </c>
      <c r="D229" s="41" t="n">
        <v>0</v>
      </c>
      <c r="E229" s="44" t="inlineStr"/>
      <c r="F229" s="44" t="inlineStr"/>
      <c r="G229" s="44" t="inlineStr"/>
      <c r="H229" s="44" t="inlineStr"/>
      <c r="I229" s="44" t="inlineStr"/>
    </row>
    <row r="230" ht="22" customHeight="1">
      <c r="A230" s="39" t="n">
        <v>46249</v>
      </c>
      <c r="B230" s="40" t="inlineStr">
        <is>
          <t>Saturday</t>
        </is>
      </c>
      <c r="C230" s="40" t="inlineStr">
        <is>
          <t>Grind Day</t>
        </is>
      </c>
      <c r="D230" s="41" t="n">
        <v>0</v>
      </c>
      <c r="E230" s="40" t="inlineStr"/>
      <c r="F230" s="40" t="inlineStr"/>
      <c r="G230" s="40" t="inlineStr"/>
      <c r="H230" s="40" t="inlineStr"/>
      <c r="I230" s="40" t="inlineStr"/>
    </row>
    <row r="231" ht="22" customHeight="1">
      <c r="A231" s="48" t="n">
        <v>46250</v>
      </c>
      <c r="B231" s="49" t="inlineStr">
        <is>
          <t>Sunday</t>
        </is>
      </c>
      <c r="C231" s="49" t="inlineStr">
        <is>
          <t>Rest Day</t>
        </is>
      </c>
      <c r="D231" s="49" t="n">
        <v>0</v>
      </c>
      <c r="E231" s="49" t="inlineStr"/>
      <c r="F231" s="49" t="inlineStr"/>
      <c r="G231" s="49" t="inlineStr"/>
      <c r="H231" s="49" t="inlineStr"/>
      <c r="I231" s="49" t="inlineStr"/>
    </row>
    <row r="232" ht="22" customHeight="1">
      <c r="A232" s="39" t="n">
        <v>46251</v>
      </c>
      <c r="B232" s="40" t="inlineStr">
        <is>
          <t>Monday</t>
        </is>
      </c>
      <c r="C232" s="40" t="inlineStr">
        <is>
          <t>Grind Day</t>
        </is>
      </c>
      <c r="D232" s="41" t="n">
        <v>0</v>
      </c>
      <c r="E232" s="40" t="inlineStr"/>
      <c r="F232" s="40" t="inlineStr"/>
      <c r="G232" s="40" t="inlineStr"/>
      <c r="H232" s="40" t="inlineStr"/>
      <c r="I232" s="40" t="inlineStr"/>
    </row>
    <row r="233" ht="22" customHeight="1">
      <c r="A233" s="43" t="n">
        <v>46252</v>
      </c>
      <c r="B233" s="44" t="inlineStr">
        <is>
          <t>Tuesday</t>
        </is>
      </c>
      <c r="C233" s="44" t="inlineStr">
        <is>
          <t>Grind Day</t>
        </is>
      </c>
      <c r="D233" s="41" t="n">
        <v>0</v>
      </c>
      <c r="E233" s="44" t="inlineStr"/>
      <c r="F233" s="44" t="inlineStr"/>
      <c r="G233" s="44" t="inlineStr"/>
      <c r="H233" s="44" t="inlineStr"/>
      <c r="I233" s="44" t="inlineStr"/>
    </row>
    <row r="234" ht="22" customHeight="1">
      <c r="A234" s="39" t="n">
        <v>46253</v>
      </c>
      <c r="B234" s="40" t="inlineStr">
        <is>
          <t>Wednesday</t>
        </is>
      </c>
      <c r="C234" s="40" t="inlineStr">
        <is>
          <t>Grind Day</t>
        </is>
      </c>
      <c r="D234" s="41" t="n">
        <v>0</v>
      </c>
      <c r="E234" s="40" t="inlineStr"/>
      <c r="F234" s="40" t="inlineStr"/>
      <c r="G234" s="40" t="inlineStr"/>
      <c r="H234" s="40" t="inlineStr"/>
      <c r="I234" s="40" t="inlineStr"/>
    </row>
    <row r="235" ht="22" customHeight="1">
      <c r="A235" s="48" t="n">
        <v>46254</v>
      </c>
      <c r="B235" s="49" t="inlineStr">
        <is>
          <t>Thursday</t>
        </is>
      </c>
      <c r="C235" s="49" t="inlineStr">
        <is>
          <t>Rest Day</t>
        </is>
      </c>
      <c r="D235" s="49" t="n">
        <v>0</v>
      </c>
      <c r="E235" s="49" t="inlineStr"/>
      <c r="F235" s="49" t="inlineStr"/>
      <c r="G235" s="49" t="inlineStr"/>
      <c r="H235" s="49" t="inlineStr"/>
      <c r="I235" s="49" t="inlineStr"/>
    </row>
    <row r="236" ht="22" customHeight="1">
      <c r="A236" s="39" t="n">
        <v>46255</v>
      </c>
      <c r="B236" s="40" t="inlineStr">
        <is>
          <t>Friday</t>
        </is>
      </c>
      <c r="C236" s="40" t="inlineStr">
        <is>
          <t>Grind Day</t>
        </is>
      </c>
      <c r="D236" s="41" t="n">
        <v>0</v>
      </c>
      <c r="E236" s="40" t="inlineStr"/>
      <c r="F236" s="40" t="inlineStr"/>
      <c r="G236" s="40" t="inlineStr"/>
      <c r="H236" s="40" t="inlineStr"/>
      <c r="I236" s="40" t="inlineStr"/>
    </row>
    <row r="237" ht="22" customHeight="1">
      <c r="A237" s="43" t="n">
        <v>46256</v>
      </c>
      <c r="B237" s="44" t="inlineStr">
        <is>
          <t>Saturday</t>
        </is>
      </c>
      <c r="C237" s="44" t="inlineStr">
        <is>
          <t>Grind Day</t>
        </is>
      </c>
      <c r="D237" s="41" t="n">
        <v>0</v>
      </c>
      <c r="E237" s="44" t="inlineStr"/>
      <c r="F237" s="44" t="inlineStr"/>
      <c r="G237" s="44" t="inlineStr"/>
      <c r="H237" s="44" t="inlineStr"/>
      <c r="I237" s="44" t="inlineStr"/>
    </row>
    <row r="238" ht="22" customHeight="1">
      <c r="A238" s="48" t="n">
        <v>46257</v>
      </c>
      <c r="B238" s="49" t="inlineStr">
        <is>
          <t>Sunday</t>
        </is>
      </c>
      <c r="C238" s="49" t="inlineStr">
        <is>
          <t>Rest Day</t>
        </is>
      </c>
      <c r="D238" s="49" t="n">
        <v>0</v>
      </c>
      <c r="E238" s="49" t="inlineStr"/>
      <c r="F238" s="49" t="inlineStr"/>
      <c r="G238" s="49" t="inlineStr"/>
      <c r="H238" s="49" t="inlineStr"/>
      <c r="I238" s="49" t="inlineStr"/>
    </row>
    <row r="239" ht="22" customHeight="1">
      <c r="A239" s="43" t="n">
        <v>46258</v>
      </c>
      <c r="B239" s="44" t="inlineStr">
        <is>
          <t>Monday</t>
        </is>
      </c>
      <c r="C239" s="44" t="inlineStr">
        <is>
          <t>Grind Day</t>
        </is>
      </c>
      <c r="D239" s="41" t="n">
        <v>0</v>
      </c>
      <c r="E239" s="44" t="inlineStr"/>
      <c r="F239" s="44" t="inlineStr"/>
      <c r="G239" s="44" t="inlineStr"/>
      <c r="H239" s="44" t="inlineStr"/>
      <c r="I239" s="44" t="inlineStr"/>
    </row>
    <row r="240" ht="22" customHeight="1">
      <c r="A240" s="39" t="n">
        <v>46259</v>
      </c>
      <c r="B240" s="40" t="inlineStr">
        <is>
          <t>Tuesday</t>
        </is>
      </c>
      <c r="C240" s="40" t="inlineStr">
        <is>
          <t>Grind Day</t>
        </is>
      </c>
      <c r="D240" s="41" t="n">
        <v>0</v>
      </c>
      <c r="E240" s="40" t="inlineStr"/>
      <c r="F240" s="40" t="inlineStr"/>
      <c r="G240" s="40" t="inlineStr"/>
      <c r="H240" s="40" t="inlineStr"/>
      <c r="I240" s="40" t="inlineStr"/>
    </row>
    <row r="241" ht="22" customHeight="1">
      <c r="A241" s="43" t="n">
        <v>46260</v>
      </c>
      <c r="B241" s="44" t="inlineStr">
        <is>
          <t>Wednesday</t>
        </is>
      </c>
      <c r="C241" s="44" t="inlineStr">
        <is>
          <t>Grind Day</t>
        </is>
      </c>
      <c r="D241" s="41" t="n">
        <v>0</v>
      </c>
      <c r="E241" s="44" t="inlineStr"/>
      <c r="F241" s="44" t="inlineStr"/>
      <c r="G241" s="44" t="inlineStr"/>
      <c r="H241" s="44" t="inlineStr"/>
      <c r="I241" s="44" t="inlineStr"/>
    </row>
    <row r="242" ht="22" customHeight="1">
      <c r="A242" s="48" t="n">
        <v>46261</v>
      </c>
      <c r="B242" s="49" t="inlineStr">
        <is>
          <t>Thursday</t>
        </is>
      </c>
      <c r="C242" s="49" t="inlineStr">
        <is>
          <t>Rest Day</t>
        </is>
      </c>
      <c r="D242" s="49" t="n">
        <v>0</v>
      </c>
      <c r="E242" s="49" t="inlineStr"/>
      <c r="F242" s="49" t="inlineStr"/>
      <c r="G242" s="49" t="inlineStr"/>
      <c r="H242" s="49" t="inlineStr"/>
      <c r="I242" s="49" t="inlineStr"/>
    </row>
    <row r="243" ht="22" customHeight="1">
      <c r="A243" s="43" t="n">
        <v>46262</v>
      </c>
      <c r="B243" s="44" t="inlineStr">
        <is>
          <t>Friday</t>
        </is>
      </c>
      <c r="C243" s="44" t="inlineStr">
        <is>
          <t>Grind Day</t>
        </is>
      </c>
      <c r="D243" s="41" t="n">
        <v>0</v>
      </c>
      <c r="E243" s="44" t="inlineStr"/>
      <c r="F243" s="44" t="inlineStr"/>
      <c r="G243" s="44" t="inlineStr"/>
      <c r="H243" s="44" t="inlineStr"/>
      <c r="I243" s="44" t="inlineStr"/>
    </row>
    <row r="244" ht="22" customHeight="1">
      <c r="A244" s="39" t="n">
        <v>46263</v>
      </c>
      <c r="B244" s="40" t="inlineStr">
        <is>
          <t>Saturday</t>
        </is>
      </c>
      <c r="C244" s="40" t="inlineStr">
        <is>
          <t>Grind Day</t>
        </is>
      </c>
      <c r="D244" s="41" t="n">
        <v>0</v>
      </c>
      <c r="E244" s="40" t="inlineStr"/>
      <c r="F244" s="40" t="inlineStr"/>
      <c r="G244" s="40" t="inlineStr"/>
      <c r="H244" s="40" t="inlineStr"/>
      <c r="I244" s="40" t="inlineStr"/>
    </row>
    <row r="245" ht="22" customHeight="1">
      <c r="A245" s="48" t="n">
        <v>46264</v>
      </c>
      <c r="B245" s="49" t="inlineStr">
        <is>
          <t>Sunday</t>
        </is>
      </c>
      <c r="C245" s="49" t="inlineStr">
        <is>
          <t>Rest Day</t>
        </is>
      </c>
      <c r="D245" s="49" t="n">
        <v>0</v>
      </c>
      <c r="E245" s="49" t="inlineStr"/>
      <c r="F245" s="49" t="inlineStr"/>
      <c r="G245" s="49" t="inlineStr"/>
      <c r="H245" s="49" t="inlineStr"/>
      <c r="I245" s="49" t="inlineStr"/>
    </row>
    <row r="246" ht="22" customHeight="1">
      <c r="A246" s="39" t="n">
        <v>46265</v>
      </c>
      <c r="B246" s="40" t="inlineStr">
        <is>
          <t>Monday</t>
        </is>
      </c>
      <c r="C246" s="40" t="inlineStr">
        <is>
          <t>Grind Day</t>
        </is>
      </c>
      <c r="D246" s="41" t="n">
        <v>0</v>
      </c>
      <c r="E246" s="40" t="inlineStr"/>
      <c r="F246" s="40" t="inlineStr"/>
      <c r="G246" s="40" t="inlineStr"/>
      <c r="H246" s="40" t="inlineStr"/>
      <c r="I246" s="40" t="inlineStr"/>
    </row>
    <row r="247" ht="22" customHeight="1">
      <c r="A247" s="43" t="n">
        <v>46266</v>
      </c>
      <c r="B247" s="44" t="inlineStr">
        <is>
          <t>Tuesday</t>
        </is>
      </c>
      <c r="C247" s="44" t="inlineStr">
        <is>
          <t>Grind Day</t>
        </is>
      </c>
      <c r="D247" s="41" t="n">
        <v>0</v>
      </c>
      <c r="E247" s="44" t="inlineStr"/>
      <c r="F247" s="44" t="inlineStr"/>
      <c r="G247" s="44" t="inlineStr"/>
      <c r="H247" s="44" t="inlineStr"/>
      <c r="I247" s="44" t="inlineStr"/>
    </row>
    <row r="248" ht="22" customHeight="1">
      <c r="A248" s="39" t="n">
        <v>46267</v>
      </c>
      <c r="B248" s="40" t="inlineStr">
        <is>
          <t>Wednesday</t>
        </is>
      </c>
      <c r="C248" s="40" t="inlineStr">
        <is>
          <t>Grind Day</t>
        </is>
      </c>
      <c r="D248" s="41" t="n">
        <v>0</v>
      </c>
      <c r="E248" s="40" t="inlineStr"/>
      <c r="F248" s="40" t="inlineStr"/>
      <c r="G248" s="40" t="inlineStr"/>
      <c r="H248" s="40" t="inlineStr"/>
      <c r="I248" s="40" t="inlineStr"/>
    </row>
    <row r="249" ht="22" customHeight="1">
      <c r="A249" s="48" t="n">
        <v>46268</v>
      </c>
      <c r="B249" s="49" t="inlineStr">
        <is>
          <t>Thursday</t>
        </is>
      </c>
      <c r="C249" s="49" t="inlineStr">
        <is>
          <t>Rest Day</t>
        </is>
      </c>
      <c r="D249" s="49" t="n">
        <v>0</v>
      </c>
      <c r="E249" s="49" t="inlineStr"/>
      <c r="F249" s="49" t="inlineStr"/>
      <c r="G249" s="49" t="inlineStr"/>
      <c r="H249" s="49" t="inlineStr"/>
      <c r="I249" s="49" t="inlineStr"/>
    </row>
    <row r="250" ht="22" customHeight="1">
      <c r="A250" s="39" t="n">
        <v>46269</v>
      </c>
      <c r="B250" s="40" t="inlineStr">
        <is>
          <t>Friday</t>
        </is>
      </c>
      <c r="C250" s="40" t="inlineStr">
        <is>
          <t>Grind Day</t>
        </is>
      </c>
      <c r="D250" s="41" t="n">
        <v>0</v>
      </c>
      <c r="E250" s="40" t="inlineStr"/>
      <c r="F250" s="40" t="inlineStr"/>
      <c r="G250" s="40" t="inlineStr"/>
      <c r="H250" s="40" t="inlineStr"/>
      <c r="I250" s="40" t="inlineStr"/>
    </row>
    <row r="251" ht="22" customHeight="1">
      <c r="A251" s="43" t="n">
        <v>46270</v>
      </c>
      <c r="B251" s="44" t="inlineStr">
        <is>
          <t>Saturday</t>
        </is>
      </c>
      <c r="C251" s="44" t="inlineStr">
        <is>
          <t>Grind Day</t>
        </is>
      </c>
      <c r="D251" s="41" t="n">
        <v>0</v>
      </c>
      <c r="E251" s="44" t="inlineStr"/>
      <c r="F251" s="44" t="inlineStr"/>
      <c r="G251" s="44" t="inlineStr"/>
      <c r="H251" s="44" t="inlineStr"/>
      <c r="I251" s="44" t="inlineStr"/>
    </row>
    <row r="252" ht="22" customHeight="1">
      <c r="A252" s="48" t="n">
        <v>46271</v>
      </c>
      <c r="B252" s="49" t="inlineStr">
        <is>
          <t>Sunday</t>
        </is>
      </c>
      <c r="C252" s="49" t="inlineStr">
        <is>
          <t>Rest Day</t>
        </is>
      </c>
      <c r="D252" s="49" t="n">
        <v>0</v>
      </c>
      <c r="E252" s="49" t="inlineStr"/>
      <c r="F252" s="49" t="inlineStr"/>
      <c r="G252" s="49" t="inlineStr"/>
      <c r="H252" s="49" t="inlineStr"/>
      <c r="I252" s="49" t="inlineStr"/>
    </row>
    <row r="253" ht="22" customHeight="1">
      <c r="A253" s="43" t="n">
        <v>46272</v>
      </c>
      <c r="B253" s="44" t="inlineStr">
        <is>
          <t>Monday</t>
        </is>
      </c>
      <c r="C253" s="44" t="inlineStr">
        <is>
          <t>Grind Day</t>
        </is>
      </c>
      <c r="D253" s="41" t="n">
        <v>0</v>
      </c>
      <c r="E253" s="44" t="inlineStr"/>
      <c r="F253" s="44" t="inlineStr"/>
      <c r="G253" s="44" t="inlineStr"/>
      <c r="H253" s="44" t="inlineStr"/>
      <c r="I253" s="44" t="inlineStr"/>
    </row>
    <row r="254" ht="22" customHeight="1">
      <c r="A254" s="39" t="n">
        <v>46273</v>
      </c>
      <c r="B254" s="40" t="inlineStr">
        <is>
          <t>Tuesday</t>
        </is>
      </c>
      <c r="C254" s="40" t="inlineStr">
        <is>
          <t>Grind Day</t>
        </is>
      </c>
      <c r="D254" s="41" t="n">
        <v>0</v>
      </c>
      <c r="E254" s="40" t="inlineStr"/>
      <c r="F254" s="40" t="inlineStr"/>
      <c r="G254" s="40" t="inlineStr"/>
      <c r="H254" s="40" t="inlineStr"/>
      <c r="I254" s="40" t="inlineStr"/>
    </row>
    <row r="255" ht="22" customHeight="1">
      <c r="A255" s="43" t="n">
        <v>46274</v>
      </c>
      <c r="B255" s="44" t="inlineStr">
        <is>
          <t>Wednesday</t>
        </is>
      </c>
      <c r="C255" s="44" t="inlineStr">
        <is>
          <t>Grind Day</t>
        </is>
      </c>
      <c r="D255" s="41" t="n">
        <v>0</v>
      </c>
      <c r="E255" s="44" t="inlineStr"/>
      <c r="F255" s="44" t="inlineStr"/>
      <c r="G255" s="44" t="inlineStr"/>
      <c r="H255" s="44" t="inlineStr"/>
      <c r="I255" s="44" t="inlineStr"/>
    </row>
    <row r="256" ht="22" customHeight="1">
      <c r="A256" s="48" t="n">
        <v>46275</v>
      </c>
      <c r="B256" s="49" t="inlineStr">
        <is>
          <t>Thursday</t>
        </is>
      </c>
      <c r="C256" s="49" t="inlineStr">
        <is>
          <t>Rest Day</t>
        </is>
      </c>
      <c r="D256" s="49" t="n">
        <v>0</v>
      </c>
      <c r="E256" s="49" t="inlineStr"/>
      <c r="F256" s="49" t="inlineStr"/>
      <c r="G256" s="49" t="inlineStr"/>
      <c r="H256" s="49" t="inlineStr"/>
      <c r="I256" s="49" t="inlineStr"/>
    </row>
    <row r="257" ht="22" customHeight="1">
      <c r="A257" s="43" t="n">
        <v>46276</v>
      </c>
      <c r="B257" s="44" t="inlineStr">
        <is>
          <t>Friday</t>
        </is>
      </c>
      <c r="C257" s="44" t="inlineStr">
        <is>
          <t>Grind Day</t>
        </is>
      </c>
      <c r="D257" s="41" t="n">
        <v>0</v>
      </c>
      <c r="E257" s="44" t="inlineStr"/>
      <c r="F257" s="44" t="inlineStr"/>
      <c r="G257" s="44" t="inlineStr"/>
      <c r="H257" s="44" t="inlineStr"/>
      <c r="I257" s="44" t="inlineStr"/>
    </row>
    <row r="258" ht="22" customHeight="1">
      <c r="A258" s="39" t="n">
        <v>46277</v>
      </c>
      <c r="B258" s="40" t="inlineStr">
        <is>
          <t>Saturday</t>
        </is>
      </c>
      <c r="C258" s="40" t="inlineStr">
        <is>
          <t>Grind Day</t>
        </is>
      </c>
      <c r="D258" s="41" t="n">
        <v>0</v>
      </c>
      <c r="E258" s="40" t="inlineStr"/>
      <c r="F258" s="40" t="inlineStr"/>
      <c r="G258" s="40" t="inlineStr"/>
      <c r="H258" s="40" t="inlineStr"/>
      <c r="I258" s="40" t="inlineStr"/>
    </row>
    <row r="259" ht="22" customHeight="1">
      <c r="A259" s="48" t="n">
        <v>46278</v>
      </c>
      <c r="B259" s="49" t="inlineStr">
        <is>
          <t>Sunday</t>
        </is>
      </c>
      <c r="C259" s="49" t="inlineStr">
        <is>
          <t>Rest Day</t>
        </is>
      </c>
      <c r="D259" s="49" t="n">
        <v>0</v>
      </c>
      <c r="E259" s="49" t="inlineStr"/>
      <c r="F259" s="49" t="inlineStr"/>
      <c r="G259" s="49" t="inlineStr"/>
      <c r="H259" s="49" t="inlineStr"/>
      <c r="I259" s="49" t="inlineStr"/>
    </row>
    <row r="260" ht="22" customHeight="1">
      <c r="A260" s="39" t="n">
        <v>46279</v>
      </c>
      <c r="B260" s="40" t="inlineStr">
        <is>
          <t>Monday</t>
        </is>
      </c>
      <c r="C260" s="40" t="inlineStr">
        <is>
          <t>Grind Day</t>
        </is>
      </c>
      <c r="D260" s="41" t="n">
        <v>0</v>
      </c>
      <c r="E260" s="40" t="inlineStr"/>
      <c r="F260" s="40" t="inlineStr"/>
      <c r="G260" s="40" t="inlineStr"/>
      <c r="H260" s="40" t="inlineStr"/>
      <c r="I260" s="40" t="inlineStr"/>
    </row>
    <row r="261" ht="22" customHeight="1">
      <c r="A261" s="43" t="n">
        <v>46280</v>
      </c>
      <c r="B261" s="44" t="inlineStr">
        <is>
          <t>Tuesday</t>
        </is>
      </c>
      <c r="C261" s="44" t="inlineStr">
        <is>
          <t>Grind Day</t>
        </is>
      </c>
      <c r="D261" s="41" t="n">
        <v>0</v>
      </c>
      <c r="E261" s="44" t="inlineStr"/>
      <c r="F261" s="44" t="inlineStr"/>
      <c r="G261" s="44" t="inlineStr"/>
      <c r="H261" s="44" t="inlineStr"/>
      <c r="I261" s="44" t="inlineStr"/>
    </row>
    <row r="262" ht="22" customHeight="1">
      <c r="A262" s="39" t="n">
        <v>46281</v>
      </c>
      <c r="B262" s="40" t="inlineStr">
        <is>
          <t>Wednesday</t>
        </is>
      </c>
      <c r="C262" s="40" t="inlineStr">
        <is>
          <t>Grind Day</t>
        </is>
      </c>
      <c r="D262" s="41" t="n">
        <v>0</v>
      </c>
      <c r="E262" s="40" t="inlineStr"/>
      <c r="F262" s="40" t="inlineStr"/>
      <c r="G262" s="40" t="inlineStr"/>
      <c r="H262" s="40" t="inlineStr"/>
      <c r="I262" s="40" t="inlineStr"/>
    </row>
    <row r="263" ht="22" customHeight="1">
      <c r="A263" s="48" t="n">
        <v>46282</v>
      </c>
      <c r="B263" s="49" t="inlineStr">
        <is>
          <t>Thursday</t>
        </is>
      </c>
      <c r="C263" s="49" t="inlineStr">
        <is>
          <t>Rest Day</t>
        </is>
      </c>
      <c r="D263" s="49" t="n">
        <v>0</v>
      </c>
      <c r="E263" s="49" t="inlineStr"/>
      <c r="F263" s="49" t="inlineStr"/>
      <c r="G263" s="49" t="inlineStr"/>
      <c r="H263" s="49" t="inlineStr"/>
      <c r="I263" s="49" t="inlineStr"/>
    </row>
    <row r="264" ht="22" customHeight="1">
      <c r="A264" s="39" t="n">
        <v>46283</v>
      </c>
      <c r="B264" s="40" t="inlineStr">
        <is>
          <t>Friday</t>
        </is>
      </c>
      <c r="C264" s="40" t="inlineStr">
        <is>
          <t>Grind Day</t>
        </is>
      </c>
      <c r="D264" s="41" t="n">
        <v>0</v>
      </c>
      <c r="E264" s="40" t="inlineStr"/>
      <c r="F264" s="40" t="inlineStr"/>
      <c r="G264" s="40" t="inlineStr"/>
      <c r="H264" s="40" t="inlineStr"/>
      <c r="I264" s="40" t="inlineStr"/>
    </row>
    <row r="265" ht="22" customHeight="1">
      <c r="A265" s="43" t="n">
        <v>46284</v>
      </c>
      <c r="B265" s="44" t="inlineStr">
        <is>
          <t>Saturday</t>
        </is>
      </c>
      <c r="C265" s="44" t="inlineStr">
        <is>
          <t>Grind Day</t>
        </is>
      </c>
      <c r="D265" s="41" t="n">
        <v>0</v>
      </c>
      <c r="E265" s="44" t="inlineStr"/>
      <c r="F265" s="44" t="inlineStr"/>
      <c r="G265" s="44" t="inlineStr"/>
      <c r="H265" s="44" t="inlineStr"/>
      <c r="I265" s="44" t="inlineStr"/>
    </row>
    <row r="266" ht="22" customHeight="1">
      <c r="A266" s="48" t="n">
        <v>46285</v>
      </c>
      <c r="B266" s="49" t="inlineStr">
        <is>
          <t>Sunday</t>
        </is>
      </c>
      <c r="C266" s="49" t="inlineStr">
        <is>
          <t>Rest Day</t>
        </is>
      </c>
      <c r="D266" s="49" t="n">
        <v>0</v>
      </c>
      <c r="E266" s="49" t="inlineStr"/>
      <c r="F266" s="49" t="inlineStr"/>
      <c r="G266" s="49" t="inlineStr"/>
      <c r="H266" s="49" t="inlineStr"/>
      <c r="I266" s="49" t="inlineStr"/>
    </row>
    <row r="267" ht="22" customHeight="1">
      <c r="A267" s="43" t="n">
        <v>46286</v>
      </c>
      <c r="B267" s="44" t="inlineStr">
        <is>
          <t>Monday</t>
        </is>
      </c>
      <c r="C267" s="44" t="inlineStr">
        <is>
          <t>Grind Day</t>
        </is>
      </c>
      <c r="D267" s="41" t="n">
        <v>0</v>
      </c>
      <c r="E267" s="44" t="inlineStr"/>
      <c r="F267" s="44" t="inlineStr"/>
      <c r="G267" s="44" t="inlineStr"/>
      <c r="H267" s="44" t="inlineStr"/>
      <c r="I267" s="44" t="inlineStr"/>
    </row>
    <row r="268" ht="22" customHeight="1">
      <c r="A268" s="39" t="n">
        <v>46287</v>
      </c>
      <c r="B268" s="40" t="inlineStr">
        <is>
          <t>Tuesday</t>
        </is>
      </c>
      <c r="C268" s="40" t="inlineStr">
        <is>
          <t>Grind Day</t>
        </is>
      </c>
      <c r="D268" s="41" t="n">
        <v>0</v>
      </c>
      <c r="E268" s="40" t="inlineStr"/>
      <c r="F268" s="40" t="inlineStr"/>
      <c r="G268" s="40" t="inlineStr"/>
      <c r="H268" s="40" t="inlineStr"/>
      <c r="I268" s="40" t="inlineStr"/>
    </row>
    <row r="269" ht="22" customHeight="1">
      <c r="A269" s="43" t="n">
        <v>46288</v>
      </c>
      <c r="B269" s="44" t="inlineStr">
        <is>
          <t>Wednesday</t>
        </is>
      </c>
      <c r="C269" s="44" t="inlineStr">
        <is>
          <t>Grind Day</t>
        </is>
      </c>
      <c r="D269" s="41" t="n">
        <v>0</v>
      </c>
      <c r="E269" s="44" t="inlineStr"/>
      <c r="F269" s="44" t="inlineStr"/>
      <c r="G269" s="44" t="inlineStr"/>
      <c r="H269" s="44" t="inlineStr"/>
      <c r="I269" s="44" t="inlineStr"/>
    </row>
    <row r="270" ht="22" customHeight="1">
      <c r="A270" s="48" t="n">
        <v>46289</v>
      </c>
      <c r="B270" s="49" t="inlineStr">
        <is>
          <t>Thursday</t>
        </is>
      </c>
      <c r="C270" s="49" t="inlineStr">
        <is>
          <t>Rest Day</t>
        </is>
      </c>
      <c r="D270" s="49" t="n">
        <v>0</v>
      </c>
      <c r="E270" s="49" t="inlineStr"/>
      <c r="F270" s="49" t="inlineStr"/>
      <c r="G270" s="49" t="inlineStr"/>
      <c r="H270" s="49" t="inlineStr"/>
      <c r="I270" s="49" t="inlineStr"/>
    </row>
    <row r="271" ht="22" customHeight="1">
      <c r="A271" s="43" t="n">
        <v>46290</v>
      </c>
      <c r="B271" s="44" t="inlineStr">
        <is>
          <t>Friday</t>
        </is>
      </c>
      <c r="C271" s="44" t="inlineStr">
        <is>
          <t>Grind Day</t>
        </is>
      </c>
      <c r="D271" s="41" t="n">
        <v>0</v>
      </c>
      <c r="E271" s="44" t="inlineStr"/>
      <c r="F271" s="44" t="inlineStr"/>
      <c r="G271" s="44" t="inlineStr"/>
      <c r="H271" s="44" t="inlineStr"/>
      <c r="I271" s="44" t="inlineStr"/>
    </row>
    <row r="272" ht="22" customHeight="1">
      <c r="A272" s="39" t="n">
        <v>46291</v>
      </c>
      <c r="B272" s="40" t="inlineStr">
        <is>
          <t>Saturday</t>
        </is>
      </c>
      <c r="C272" s="40" t="inlineStr">
        <is>
          <t>Grind Day</t>
        </is>
      </c>
      <c r="D272" s="41" t="n">
        <v>0</v>
      </c>
      <c r="E272" s="40" t="inlineStr"/>
      <c r="F272" s="40" t="inlineStr"/>
      <c r="G272" s="40" t="inlineStr"/>
      <c r="H272" s="40" t="inlineStr"/>
      <c r="I272" s="40" t="inlineStr"/>
    </row>
    <row r="273" ht="22" customHeight="1">
      <c r="A273" s="48" t="n">
        <v>46292</v>
      </c>
      <c r="B273" s="49" t="inlineStr">
        <is>
          <t>Sunday</t>
        </is>
      </c>
      <c r="C273" s="49" t="inlineStr">
        <is>
          <t>Rest Day</t>
        </is>
      </c>
      <c r="D273" s="49" t="n">
        <v>0</v>
      </c>
      <c r="E273" s="49" t="inlineStr"/>
      <c r="F273" s="49" t="inlineStr"/>
      <c r="G273" s="49" t="inlineStr"/>
      <c r="H273" s="49" t="inlineStr"/>
      <c r="I273" s="49" t="inlineStr"/>
    </row>
    <row r="274" ht="22" customHeight="1">
      <c r="A274" s="39" t="n">
        <v>46293</v>
      </c>
      <c r="B274" s="40" t="inlineStr">
        <is>
          <t>Monday</t>
        </is>
      </c>
      <c r="C274" s="40" t="inlineStr">
        <is>
          <t>Grind Day</t>
        </is>
      </c>
      <c r="D274" s="41" t="n">
        <v>0</v>
      </c>
      <c r="E274" s="40" t="inlineStr"/>
      <c r="F274" s="40" t="inlineStr"/>
      <c r="G274" s="40" t="inlineStr"/>
      <c r="H274" s="40" t="inlineStr"/>
      <c r="I274" s="40" t="inlineStr"/>
    </row>
    <row r="275" ht="22" customHeight="1">
      <c r="A275" s="43" t="n">
        <v>46294</v>
      </c>
      <c r="B275" s="44" t="inlineStr">
        <is>
          <t>Tuesday</t>
        </is>
      </c>
      <c r="C275" s="44" t="inlineStr">
        <is>
          <t>Grind Day</t>
        </is>
      </c>
      <c r="D275" s="41" t="n">
        <v>0</v>
      </c>
      <c r="E275" s="44" t="inlineStr"/>
      <c r="F275" s="44" t="inlineStr"/>
      <c r="G275" s="44" t="inlineStr"/>
      <c r="H275" s="44" t="inlineStr"/>
      <c r="I275" s="44" t="inlineStr"/>
    </row>
    <row r="276" ht="22" customHeight="1">
      <c r="A276" s="39" t="n">
        <v>46295</v>
      </c>
      <c r="B276" s="40" t="inlineStr">
        <is>
          <t>Wednesday</t>
        </is>
      </c>
      <c r="C276" s="40" t="inlineStr">
        <is>
          <t>Grind Day</t>
        </is>
      </c>
      <c r="D276" s="41" t="n">
        <v>0</v>
      </c>
      <c r="E276" s="40" t="inlineStr"/>
      <c r="F276" s="40" t="inlineStr"/>
      <c r="G276" s="40" t="inlineStr"/>
      <c r="H276" s="40" t="inlineStr"/>
      <c r="I276" s="40" t="inlineStr"/>
    </row>
    <row r="277" ht="22" customHeight="1">
      <c r="A277" s="48" t="n">
        <v>46296</v>
      </c>
      <c r="B277" s="49" t="inlineStr">
        <is>
          <t>Thursday</t>
        </is>
      </c>
      <c r="C277" s="49" t="inlineStr">
        <is>
          <t>Rest Day</t>
        </is>
      </c>
      <c r="D277" s="49" t="n">
        <v>0</v>
      </c>
      <c r="E277" s="49" t="inlineStr"/>
      <c r="F277" s="49" t="inlineStr"/>
      <c r="G277" s="49" t="inlineStr"/>
      <c r="H277" s="49" t="inlineStr"/>
      <c r="I277" s="49" t="inlineStr"/>
    </row>
    <row r="278" ht="22" customHeight="1">
      <c r="A278" s="39" t="n">
        <v>46297</v>
      </c>
      <c r="B278" s="40" t="inlineStr">
        <is>
          <t>Friday</t>
        </is>
      </c>
      <c r="C278" s="40" t="inlineStr">
        <is>
          <t>Grind Day</t>
        </is>
      </c>
      <c r="D278" s="41" t="n">
        <v>0</v>
      </c>
      <c r="E278" s="40" t="inlineStr"/>
      <c r="F278" s="40" t="inlineStr"/>
      <c r="G278" s="40" t="inlineStr"/>
      <c r="H278" s="40" t="inlineStr"/>
      <c r="I278" s="40" t="inlineStr"/>
    </row>
    <row r="279" ht="22" customHeight="1">
      <c r="A279" s="43" t="n">
        <v>46298</v>
      </c>
      <c r="B279" s="44" t="inlineStr">
        <is>
          <t>Saturday</t>
        </is>
      </c>
      <c r="C279" s="44" t="inlineStr">
        <is>
          <t>Grind Day</t>
        </is>
      </c>
      <c r="D279" s="41" t="n">
        <v>0</v>
      </c>
      <c r="E279" s="44" t="inlineStr"/>
      <c r="F279" s="44" t="inlineStr"/>
      <c r="G279" s="44" t="inlineStr"/>
      <c r="H279" s="44" t="inlineStr"/>
      <c r="I279" s="44" t="inlineStr"/>
    </row>
    <row r="280" ht="22" customHeight="1">
      <c r="A280" s="48" t="n">
        <v>46299</v>
      </c>
      <c r="B280" s="49" t="inlineStr">
        <is>
          <t>Sunday</t>
        </is>
      </c>
      <c r="C280" s="49" t="inlineStr">
        <is>
          <t>Rest Day</t>
        </is>
      </c>
      <c r="D280" s="49" t="n">
        <v>0</v>
      </c>
      <c r="E280" s="49" t="inlineStr"/>
      <c r="F280" s="49" t="inlineStr"/>
      <c r="G280" s="49" t="inlineStr"/>
      <c r="H280" s="49" t="inlineStr"/>
      <c r="I280" s="49" t="inlineStr"/>
    </row>
    <row r="281" ht="22" customHeight="1">
      <c r="A281" s="43" t="n">
        <v>46300</v>
      </c>
      <c r="B281" s="44" t="inlineStr">
        <is>
          <t>Monday</t>
        </is>
      </c>
      <c r="C281" s="44" t="inlineStr">
        <is>
          <t>Grind Day</t>
        </is>
      </c>
      <c r="D281" s="41" t="n">
        <v>0</v>
      </c>
      <c r="E281" s="44" t="inlineStr"/>
      <c r="F281" s="44" t="inlineStr"/>
      <c r="G281" s="44" t="inlineStr"/>
      <c r="H281" s="44" t="inlineStr"/>
      <c r="I281" s="44" t="inlineStr"/>
    </row>
    <row r="282" ht="22" customHeight="1">
      <c r="A282" s="39" t="n">
        <v>46301</v>
      </c>
      <c r="B282" s="40" t="inlineStr">
        <is>
          <t>Tuesday</t>
        </is>
      </c>
      <c r="C282" s="40" t="inlineStr">
        <is>
          <t>Grind Day</t>
        </is>
      </c>
      <c r="D282" s="41" t="n">
        <v>0</v>
      </c>
      <c r="E282" s="40" t="inlineStr"/>
      <c r="F282" s="40" t="inlineStr"/>
      <c r="G282" s="40" t="inlineStr"/>
      <c r="H282" s="40" t="inlineStr"/>
      <c r="I282" s="40" t="inlineStr"/>
    </row>
    <row r="283" ht="22" customHeight="1">
      <c r="A283" s="43" t="n">
        <v>46302</v>
      </c>
      <c r="B283" s="44" t="inlineStr">
        <is>
          <t>Wednesday</t>
        </is>
      </c>
      <c r="C283" s="44" t="inlineStr">
        <is>
          <t>Grind Day</t>
        </is>
      </c>
      <c r="D283" s="41" t="n">
        <v>0</v>
      </c>
      <c r="E283" s="44" t="inlineStr"/>
      <c r="F283" s="44" t="inlineStr"/>
      <c r="G283" s="44" t="inlineStr"/>
      <c r="H283" s="44" t="inlineStr"/>
      <c r="I283" s="44" t="inlineStr"/>
    </row>
    <row r="284" ht="22" customHeight="1">
      <c r="A284" s="48" t="n">
        <v>46303</v>
      </c>
      <c r="B284" s="49" t="inlineStr">
        <is>
          <t>Thursday</t>
        </is>
      </c>
      <c r="C284" s="49" t="inlineStr">
        <is>
          <t>Rest Day</t>
        </is>
      </c>
      <c r="D284" s="49" t="n">
        <v>0</v>
      </c>
      <c r="E284" s="49" t="inlineStr"/>
      <c r="F284" s="49" t="inlineStr"/>
      <c r="G284" s="49" t="inlineStr"/>
      <c r="H284" s="49" t="inlineStr"/>
      <c r="I284" s="49" t="inlineStr"/>
    </row>
    <row r="285" ht="22" customHeight="1">
      <c r="A285" s="43" t="n">
        <v>46304</v>
      </c>
      <c r="B285" s="44" t="inlineStr">
        <is>
          <t>Friday</t>
        </is>
      </c>
      <c r="C285" s="44" t="inlineStr">
        <is>
          <t>Grind Day</t>
        </is>
      </c>
      <c r="D285" s="41" t="n">
        <v>0</v>
      </c>
      <c r="E285" s="44" t="inlineStr"/>
      <c r="F285" s="44" t="inlineStr"/>
      <c r="G285" s="44" t="inlineStr"/>
      <c r="H285" s="44" t="inlineStr"/>
      <c r="I285" s="44" t="inlineStr"/>
    </row>
    <row r="286" ht="22" customHeight="1">
      <c r="A286" s="39" t="n">
        <v>46305</v>
      </c>
      <c r="B286" s="40" t="inlineStr">
        <is>
          <t>Saturday</t>
        </is>
      </c>
      <c r="C286" s="40" t="inlineStr">
        <is>
          <t>Grind Day</t>
        </is>
      </c>
      <c r="D286" s="41" t="n">
        <v>0</v>
      </c>
      <c r="E286" s="40" t="inlineStr"/>
      <c r="F286" s="40" t="inlineStr"/>
      <c r="G286" s="40" t="inlineStr"/>
      <c r="H286" s="40" t="inlineStr"/>
      <c r="I286" s="40" t="inlineStr"/>
    </row>
    <row r="287" ht="22" customHeight="1">
      <c r="A287" s="48" t="n">
        <v>46306</v>
      </c>
      <c r="B287" s="49" t="inlineStr">
        <is>
          <t>Sunday</t>
        </is>
      </c>
      <c r="C287" s="49" t="inlineStr">
        <is>
          <t>Rest Day</t>
        </is>
      </c>
      <c r="D287" s="49" t="n">
        <v>0</v>
      </c>
      <c r="E287" s="49" t="inlineStr"/>
      <c r="F287" s="49" t="inlineStr"/>
      <c r="G287" s="49" t="inlineStr"/>
      <c r="H287" s="49" t="inlineStr"/>
      <c r="I287" s="49" t="inlineStr"/>
    </row>
    <row r="288" ht="22" customHeight="1">
      <c r="A288" s="39" t="n">
        <v>46307</v>
      </c>
      <c r="B288" s="40" t="inlineStr">
        <is>
          <t>Monday</t>
        </is>
      </c>
      <c r="C288" s="40" t="inlineStr">
        <is>
          <t>Grind Day</t>
        </is>
      </c>
      <c r="D288" s="41" t="n">
        <v>0</v>
      </c>
      <c r="E288" s="40" t="inlineStr"/>
      <c r="F288" s="40" t="inlineStr"/>
      <c r="G288" s="40" t="inlineStr"/>
      <c r="H288" s="40" t="inlineStr"/>
      <c r="I288" s="40" t="inlineStr"/>
    </row>
    <row r="289" ht="22" customHeight="1">
      <c r="A289" s="43" t="n">
        <v>46308</v>
      </c>
      <c r="B289" s="44" t="inlineStr">
        <is>
          <t>Tuesday</t>
        </is>
      </c>
      <c r="C289" s="44" t="inlineStr">
        <is>
          <t>Grind Day</t>
        </is>
      </c>
      <c r="D289" s="41" t="n">
        <v>0</v>
      </c>
      <c r="E289" s="44" t="inlineStr"/>
      <c r="F289" s="44" t="inlineStr"/>
      <c r="G289" s="44" t="inlineStr"/>
      <c r="H289" s="44" t="inlineStr"/>
      <c r="I289" s="44" t="inlineStr"/>
    </row>
    <row r="290" ht="22" customHeight="1">
      <c r="A290" s="39" t="n">
        <v>46309</v>
      </c>
      <c r="B290" s="40" t="inlineStr">
        <is>
          <t>Wednesday</t>
        </is>
      </c>
      <c r="C290" s="40" t="inlineStr">
        <is>
          <t>Grind Day</t>
        </is>
      </c>
      <c r="D290" s="41" t="n">
        <v>0</v>
      </c>
      <c r="E290" s="40" t="inlineStr"/>
      <c r="F290" s="40" t="inlineStr"/>
      <c r="G290" s="40" t="inlineStr"/>
      <c r="H290" s="40" t="inlineStr"/>
      <c r="I290" s="40" t="inlineStr"/>
    </row>
    <row r="291" ht="22" customHeight="1">
      <c r="A291" s="48" t="n">
        <v>46310</v>
      </c>
      <c r="B291" s="49" t="inlineStr">
        <is>
          <t>Thursday</t>
        </is>
      </c>
      <c r="C291" s="49" t="inlineStr">
        <is>
          <t>Rest Day</t>
        </is>
      </c>
      <c r="D291" s="49" t="n">
        <v>0</v>
      </c>
      <c r="E291" s="49" t="inlineStr"/>
      <c r="F291" s="49" t="inlineStr"/>
      <c r="G291" s="49" t="inlineStr"/>
      <c r="H291" s="49" t="inlineStr"/>
      <c r="I291" s="49" t="inlineStr"/>
    </row>
    <row r="292" ht="22" customHeight="1">
      <c r="A292" s="39" t="n">
        <v>46311</v>
      </c>
      <c r="B292" s="40" t="inlineStr">
        <is>
          <t>Friday</t>
        </is>
      </c>
      <c r="C292" s="40" t="inlineStr">
        <is>
          <t>Grind Day</t>
        </is>
      </c>
      <c r="D292" s="41" t="n">
        <v>0</v>
      </c>
      <c r="E292" s="40" t="inlineStr"/>
      <c r="F292" s="40" t="inlineStr"/>
      <c r="G292" s="40" t="inlineStr"/>
      <c r="H292" s="40" t="inlineStr"/>
      <c r="I292" s="40" t="inlineStr"/>
    </row>
    <row r="293" ht="22" customHeight="1">
      <c r="A293" s="43" t="n">
        <v>46312</v>
      </c>
      <c r="B293" s="44" t="inlineStr">
        <is>
          <t>Saturday</t>
        </is>
      </c>
      <c r="C293" s="44" t="inlineStr">
        <is>
          <t>Grind Day</t>
        </is>
      </c>
      <c r="D293" s="41" t="n">
        <v>0</v>
      </c>
      <c r="E293" s="44" t="inlineStr"/>
      <c r="F293" s="44" t="inlineStr"/>
      <c r="G293" s="44" t="inlineStr"/>
      <c r="H293" s="44" t="inlineStr"/>
      <c r="I293" s="44" t="inlineStr"/>
    </row>
    <row r="294" ht="22" customHeight="1">
      <c r="A294" s="48" t="n">
        <v>46313</v>
      </c>
      <c r="B294" s="49" t="inlineStr">
        <is>
          <t>Sunday</t>
        </is>
      </c>
      <c r="C294" s="49" t="inlineStr">
        <is>
          <t>Rest Day</t>
        </is>
      </c>
      <c r="D294" s="49" t="n">
        <v>0</v>
      </c>
      <c r="E294" s="49" t="inlineStr"/>
      <c r="F294" s="49" t="inlineStr"/>
      <c r="G294" s="49" t="inlineStr"/>
      <c r="H294" s="49" t="inlineStr"/>
      <c r="I294" s="49" t="inlineStr"/>
    </row>
    <row r="295" ht="22" customHeight="1">
      <c r="A295" s="43" t="n">
        <v>46314</v>
      </c>
      <c r="B295" s="44" t="inlineStr">
        <is>
          <t>Monday</t>
        </is>
      </c>
      <c r="C295" s="44" t="inlineStr">
        <is>
          <t>Grind Day</t>
        </is>
      </c>
      <c r="D295" s="41" t="n">
        <v>0</v>
      </c>
      <c r="E295" s="44" t="inlineStr"/>
      <c r="F295" s="44" t="inlineStr"/>
      <c r="G295" s="44" t="inlineStr"/>
      <c r="H295" s="44" t="inlineStr"/>
      <c r="I295" s="44" t="inlineStr"/>
    </row>
    <row r="296" ht="22" customHeight="1">
      <c r="A296" s="39" t="n">
        <v>46315</v>
      </c>
      <c r="B296" s="40" t="inlineStr">
        <is>
          <t>Tuesday</t>
        </is>
      </c>
      <c r="C296" s="40" t="inlineStr">
        <is>
          <t>Grind Day</t>
        </is>
      </c>
      <c r="D296" s="41" t="n">
        <v>0</v>
      </c>
      <c r="E296" s="40" t="inlineStr"/>
      <c r="F296" s="40" t="inlineStr"/>
      <c r="G296" s="40" t="inlineStr"/>
      <c r="H296" s="40" t="inlineStr"/>
      <c r="I296" s="40" t="inlineStr"/>
    </row>
    <row r="297" ht="22" customHeight="1">
      <c r="A297" s="43" t="n">
        <v>46316</v>
      </c>
      <c r="B297" s="44" t="inlineStr">
        <is>
          <t>Wednesday</t>
        </is>
      </c>
      <c r="C297" s="44" t="inlineStr">
        <is>
          <t>Grind Day</t>
        </is>
      </c>
      <c r="D297" s="41" t="n">
        <v>0</v>
      </c>
      <c r="E297" s="44" t="inlineStr"/>
      <c r="F297" s="44" t="inlineStr"/>
      <c r="G297" s="44" t="inlineStr"/>
      <c r="H297" s="44" t="inlineStr"/>
      <c r="I297" s="44" t="inlineStr"/>
    </row>
    <row r="298" ht="22" customHeight="1">
      <c r="A298" s="48" t="n">
        <v>46317</v>
      </c>
      <c r="B298" s="49" t="inlineStr">
        <is>
          <t>Thursday</t>
        </is>
      </c>
      <c r="C298" s="49" t="inlineStr">
        <is>
          <t>Rest Day</t>
        </is>
      </c>
      <c r="D298" s="49" t="n">
        <v>0</v>
      </c>
      <c r="E298" s="49" t="inlineStr"/>
      <c r="F298" s="49" t="inlineStr"/>
      <c r="G298" s="49" t="inlineStr"/>
      <c r="H298" s="49" t="inlineStr"/>
      <c r="I298" s="49" t="inlineStr"/>
    </row>
    <row r="299" ht="22" customHeight="1">
      <c r="A299" s="43" t="n">
        <v>46318</v>
      </c>
      <c r="B299" s="44" t="inlineStr">
        <is>
          <t>Friday</t>
        </is>
      </c>
      <c r="C299" s="44" t="inlineStr">
        <is>
          <t>Grind Day</t>
        </is>
      </c>
      <c r="D299" s="41" t="n">
        <v>0</v>
      </c>
      <c r="E299" s="44" t="inlineStr"/>
      <c r="F299" s="44" t="inlineStr"/>
      <c r="G299" s="44" t="inlineStr"/>
      <c r="H299" s="44" t="inlineStr"/>
      <c r="I299" s="44" t="inlineStr"/>
    </row>
    <row r="300" ht="22" customHeight="1">
      <c r="A300" s="39" t="n">
        <v>46319</v>
      </c>
      <c r="B300" s="40" t="inlineStr">
        <is>
          <t>Saturday</t>
        </is>
      </c>
      <c r="C300" s="40" t="inlineStr">
        <is>
          <t>Grind Day</t>
        </is>
      </c>
      <c r="D300" s="41" t="n">
        <v>0</v>
      </c>
      <c r="E300" s="40" t="inlineStr"/>
      <c r="F300" s="40" t="inlineStr"/>
      <c r="G300" s="40" t="inlineStr"/>
      <c r="H300" s="40" t="inlineStr"/>
      <c r="I300" s="40" t="inlineStr"/>
    </row>
    <row r="301" ht="22" customHeight="1">
      <c r="A301" s="48" t="n">
        <v>46320</v>
      </c>
      <c r="B301" s="49" t="inlineStr">
        <is>
          <t>Sunday</t>
        </is>
      </c>
      <c r="C301" s="49" t="inlineStr">
        <is>
          <t>Rest Day</t>
        </is>
      </c>
      <c r="D301" s="49" t="n">
        <v>0</v>
      </c>
      <c r="E301" s="49" t="inlineStr"/>
      <c r="F301" s="49" t="inlineStr"/>
      <c r="G301" s="49" t="inlineStr"/>
      <c r="H301" s="49" t="inlineStr"/>
      <c r="I301" s="49" t="inlineStr"/>
    </row>
    <row r="302" ht="22" customHeight="1">
      <c r="A302" s="39" t="n">
        <v>46321</v>
      </c>
      <c r="B302" s="40" t="inlineStr">
        <is>
          <t>Monday</t>
        </is>
      </c>
      <c r="C302" s="40" t="inlineStr">
        <is>
          <t>Grind Day</t>
        </is>
      </c>
      <c r="D302" s="41" t="n">
        <v>0</v>
      </c>
      <c r="E302" s="40" t="inlineStr"/>
      <c r="F302" s="40" t="inlineStr"/>
      <c r="G302" s="40" t="inlineStr"/>
      <c r="H302" s="40" t="inlineStr"/>
      <c r="I302" s="40" t="inlineStr"/>
    </row>
    <row r="303" ht="22" customHeight="1">
      <c r="A303" s="43" t="n">
        <v>46322</v>
      </c>
      <c r="B303" s="44" t="inlineStr">
        <is>
          <t>Tuesday</t>
        </is>
      </c>
      <c r="C303" s="44" t="inlineStr">
        <is>
          <t>Grind Day</t>
        </is>
      </c>
      <c r="D303" s="41" t="n">
        <v>0</v>
      </c>
      <c r="E303" s="44" t="inlineStr"/>
      <c r="F303" s="44" t="inlineStr"/>
      <c r="G303" s="44" t="inlineStr"/>
      <c r="H303" s="44" t="inlineStr"/>
      <c r="I303" s="44" t="inlineStr"/>
    </row>
    <row r="304" ht="22" customHeight="1">
      <c r="A304" s="39" t="n">
        <v>46323</v>
      </c>
      <c r="B304" s="40" t="inlineStr">
        <is>
          <t>Wednesday</t>
        </is>
      </c>
      <c r="C304" s="40" t="inlineStr">
        <is>
          <t>Grind Day</t>
        </is>
      </c>
      <c r="D304" s="41" t="n">
        <v>0</v>
      </c>
      <c r="E304" s="40" t="inlineStr"/>
      <c r="F304" s="40" t="inlineStr"/>
      <c r="G304" s="40" t="inlineStr"/>
      <c r="H304" s="40" t="inlineStr"/>
      <c r="I304" s="40" t="inlineStr"/>
    </row>
    <row r="305" ht="22" customHeight="1">
      <c r="A305" s="48" t="n">
        <v>46324</v>
      </c>
      <c r="B305" s="49" t="inlineStr">
        <is>
          <t>Thursday</t>
        </is>
      </c>
      <c r="C305" s="49" t="inlineStr">
        <is>
          <t>Rest Day</t>
        </is>
      </c>
      <c r="D305" s="49" t="n">
        <v>0</v>
      </c>
      <c r="E305" s="49" t="inlineStr"/>
      <c r="F305" s="49" t="inlineStr"/>
      <c r="G305" s="49" t="inlineStr"/>
      <c r="H305" s="49" t="inlineStr"/>
      <c r="I305" s="49" t="inlineStr"/>
    </row>
    <row r="306" ht="22" customHeight="1">
      <c r="A306" s="39" t="n">
        <v>46325</v>
      </c>
      <c r="B306" s="40" t="inlineStr">
        <is>
          <t>Friday</t>
        </is>
      </c>
      <c r="C306" s="40" t="inlineStr">
        <is>
          <t>Grind Day</t>
        </is>
      </c>
      <c r="D306" s="41" t="n">
        <v>0</v>
      </c>
      <c r="E306" s="40" t="inlineStr"/>
      <c r="F306" s="40" t="inlineStr"/>
      <c r="G306" s="40" t="inlineStr"/>
      <c r="H306" s="40" t="inlineStr"/>
      <c r="I306" s="40" t="inlineStr"/>
    </row>
    <row r="307" ht="22" customHeight="1">
      <c r="A307" s="43" t="n">
        <v>46326</v>
      </c>
      <c r="B307" s="44" t="inlineStr">
        <is>
          <t>Saturday</t>
        </is>
      </c>
      <c r="C307" s="44" t="inlineStr">
        <is>
          <t>Grind Day</t>
        </is>
      </c>
      <c r="D307" s="41" t="n">
        <v>0</v>
      </c>
      <c r="E307" s="44" t="inlineStr"/>
      <c r="F307" s="44" t="inlineStr"/>
      <c r="G307" s="44" t="inlineStr"/>
      <c r="H307" s="44" t="inlineStr"/>
      <c r="I307" s="44" t="inlineStr"/>
    </row>
    <row r="308" ht="22" customHeight="1">
      <c r="A308" s="48" t="n">
        <v>46327</v>
      </c>
      <c r="B308" s="49" t="inlineStr">
        <is>
          <t>Sunday</t>
        </is>
      </c>
      <c r="C308" s="49" t="inlineStr">
        <is>
          <t>Rest Day</t>
        </is>
      </c>
      <c r="D308" s="49" t="n">
        <v>0</v>
      </c>
      <c r="E308" s="49" t="inlineStr"/>
      <c r="F308" s="49" t="inlineStr"/>
      <c r="G308" s="49" t="inlineStr"/>
      <c r="H308" s="49" t="inlineStr"/>
      <c r="I308" s="49" t="inlineStr"/>
    </row>
    <row r="309" ht="22" customHeight="1">
      <c r="A309" s="43" t="n">
        <v>46328</v>
      </c>
      <c r="B309" s="44" t="inlineStr">
        <is>
          <t>Monday</t>
        </is>
      </c>
      <c r="C309" s="44" t="inlineStr">
        <is>
          <t>Grind Day</t>
        </is>
      </c>
      <c r="D309" s="41" t="n">
        <v>0</v>
      </c>
      <c r="E309" s="44" t="inlineStr"/>
      <c r="F309" s="44" t="inlineStr"/>
      <c r="G309" s="44" t="inlineStr"/>
      <c r="H309" s="44" t="inlineStr"/>
      <c r="I309" s="44" t="inlineStr"/>
    </row>
    <row r="310" ht="22" customHeight="1">
      <c r="A310" s="39" t="n">
        <v>46329</v>
      </c>
      <c r="B310" s="40" t="inlineStr">
        <is>
          <t>Tuesday</t>
        </is>
      </c>
      <c r="C310" s="40" t="inlineStr">
        <is>
          <t>Grind Day</t>
        </is>
      </c>
      <c r="D310" s="41" t="n">
        <v>0</v>
      </c>
      <c r="E310" s="40" t="inlineStr"/>
      <c r="F310" s="40" t="inlineStr"/>
      <c r="G310" s="40" t="inlineStr"/>
      <c r="H310" s="40" t="inlineStr"/>
      <c r="I310" s="40" t="inlineStr"/>
    </row>
    <row r="311" ht="22" customHeight="1">
      <c r="A311" s="43" t="n">
        <v>46330</v>
      </c>
      <c r="B311" s="44" t="inlineStr">
        <is>
          <t>Wednesday</t>
        </is>
      </c>
      <c r="C311" s="44" t="inlineStr">
        <is>
          <t>Grind Day</t>
        </is>
      </c>
      <c r="D311" s="41" t="n">
        <v>0</v>
      </c>
      <c r="E311" s="44" t="inlineStr"/>
      <c r="F311" s="44" t="inlineStr"/>
      <c r="G311" s="44" t="inlineStr"/>
      <c r="H311" s="44" t="inlineStr"/>
      <c r="I311" s="44" t="inlineStr"/>
    </row>
    <row r="312" ht="22" customHeight="1">
      <c r="A312" s="48" t="n">
        <v>46331</v>
      </c>
      <c r="B312" s="49" t="inlineStr">
        <is>
          <t>Thursday</t>
        </is>
      </c>
      <c r="C312" s="49" t="inlineStr">
        <is>
          <t>Rest Day</t>
        </is>
      </c>
      <c r="D312" s="49" t="n">
        <v>0</v>
      </c>
      <c r="E312" s="49" t="inlineStr"/>
      <c r="F312" s="49" t="inlineStr"/>
      <c r="G312" s="49" t="inlineStr"/>
      <c r="H312" s="49" t="inlineStr"/>
      <c r="I312" s="49" t="inlineStr"/>
    </row>
    <row r="313" ht="22" customHeight="1">
      <c r="A313" s="43" t="n">
        <v>46332</v>
      </c>
      <c r="B313" s="44" t="inlineStr">
        <is>
          <t>Friday</t>
        </is>
      </c>
      <c r="C313" s="44" t="inlineStr">
        <is>
          <t>Grind Day</t>
        </is>
      </c>
      <c r="D313" s="41" t="n">
        <v>0</v>
      </c>
      <c r="E313" s="44" t="inlineStr"/>
      <c r="F313" s="44" t="inlineStr"/>
      <c r="G313" s="44" t="inlineStr"/>
      <c r="H313" s="44" t="inlineStr"/>
      <c r="I313" s="44" t="inlineStr"/>
    </row>
    <row r="314" ht="22" customHeight="1">
      <c r="A314" s="39" t="n">
        <v>46333</v>
      </c>
      <c r="B314" s="40" t="inlineStr">
        <is>
          <t>Saturday</t>
        </is>
      </c>
      <c r="C314" s="40" t="inlineStr">
        <is>
          <t>Grind Day</t>
        </is>
      </c>
      <c r="D314" s="41" t="n">
        <v>0</v>
      </c>
      <c r="E314" s="40" t="inlineStr"/>
      <c r="F314" s="40" t="inlineStr"/>
      <c r="G314" s="40" t="inlineStr"/>
      <c r="H314" s="40" t="inlineStr"/>
      <c r="I314" s="40" t="inlineStr"/>
    </row>
    <row r="315" ht="22" customHeight="1">
      <c r="A315" s="48" t="n">
        <v>46334</v>
      </c>
      <c r="B315" s="49" t="inlineStr">
        <is>
          <t>Sunday</t>
        </is>
      </c>
      <c r="C315" s="49" t="inlineStr">
        <is>
          <t>Rest Day</t>
        </is>
      </c>
      <c r="D315" s="49" t="n">
        <v>0</v>
      </c>
      <c r="E315" s="49" t="inlineStr"/>
      <c r="F315" s="49" t="inlineStr"/>
      <c r="G315" s="49" t="inlineStr"/>
      <c r="H315" s="49" t="inlineStr"/>
      <c r="I315" s="49" t="inlineStr"/>
    </row>
    <row r="316" ht="22" customHeight="1">
      <c r="A316" s="39" t="n">
        <v>46335</v>
      </c>
      <c r="B316" s="40" t="inlineStr">
        <is>
          <t>Monday</t>
        </is>
      </c>
      <c r="C316" s="40" t="inlineStr">
        <is>
          <t>Grind Day</t>
        </is>
      </c>
      <c r="D316" s="41" t="n">
        <v>0</v>
      </c>
      <c r="E316" s="40" t="inlineStr"/>
      <c r="F316" s="40" t="inlineStr"/>
      <c r="G316" s="40" t="inlineStr"/>
      <c r="H316" s="40" t="inlineStr"/>
      <c r="I316" s="40" t="inlineStr"/>
    </row>
    <row r="317" ht="22" customHeight="1">
      <c r="A317" s="43" t="n">
        <v>46336</v>
      </c>
      <c r="B317" s="44" t="inlineStr">
        <is>
          <t>Tuesday</t>
        </is>
      </c>
      <c r="C317" s="44" t="inlineStr">
        <is>
          <t>Grind Day</t>
        </is>
      </c>
      <c r="D317" s="41" t="n">
        <v>0</v>
      </c>
      <c r="E317" s="44" t="inlineStr"/>
      <c r="F317" s="44" t="inlineStr"/>
      <c r="G317" s="44" t="inlineStr"/>
      <c r="H317" s="44" t="inlineStr"/>
      <c r="I317" s="44" t="inlineStr"/>
    </row>
    <row r="318" ht="22" customHeight="1">
      <c r="A318" s="39" t="n">
        <v>46337</v>
      </c>
      <c r="B318" s="40" t="inlineStr">
        <is>
          <t>Wednesday</t>
        </is>
      </c>
      <c r="C318" s="40" t="inlineStr">
        <is>
          <t>Grind Day</t>
        </is>
      </c>
      <c r="D318" s="41" t="n">
        <v>0</v>
      </c>
      <c r="E318" s="40" t="inlineStr"/>
      <c r="F318" s="40" t="inlineStr"/>
      <c r="G318" s="40" t="inlineStr"/>
      <c r="H318" s="40" t="inlineStr"/>
      <c r="I318" s="40" t="inlineStr"/>
    </row>
    <row r="319" ht="22" customHeight="1">
      <c r="A319" s="48" t="n">
        <v>46338</v>
      </c>
      <c r="B319" s="49" t="inlineStr">
        <is>
          <t>Thursday</t>
        </is>
      </c>
      <c r="C319" s="49" t="inlineStr">
        <is>
          <t>Rest Day</t>
        </is>
      </c>
      <c r="D319" s="49" t="n">
        <v>0</v>
      </c>
      <c r="E319" s="49" t="inlineStr"/>
      <c r="F319" s="49" t="inlineStr"/>
      <c r="G319" s="49" t="inlineStr"/>
      <c r="H319" s="49" t="inlineStr"/>
      <c r="I319" s="49" t="inlineStr"/>
    </row>
    <row r="320" ht="22" customHeight="1">
      <c r="A320" s="39" t="n">
        <v>46339</v>
      </c>
      <c r="B320" s="40" t="inlineStr">
        <is>
          <t>Friday</t>
        </is>
      </c>
      <c r="C320" s="40" t="inlineStr">
        <is>
          <t>Grind Day</t>
        </is>
      </c>
      <c r="D320" s="41" t="n">
        <v>0</v>
      </c>
      <c r="E320" s="40" t="inlineStr"/>
      <c r="F320" s="40" t="inlineStr"/>
      <c r="G320" s="40" t="inlineStr"/>
      <c r="H320" s="40" t="inlineStr"/>
      <c r="I320" s="40" t="inlineStr"/>
    </row>
    <row r="321" ht="22" customHeight="1">
      <c r="A321" s="43" t="n">
        <v>46340</v>
      </c>
      <c r="B321" s="44" t="inlineStr">
        <is>
          <t>Saturday</t>
        </is>
      </c>
      <c r="C321" s="44" t="inlineStr">
        <is>
          <t>Grind Day</t>
        </is>
      </c>
      <c r="D321" s="41" t="n">
        <v>0</v>
      </c>
      <c r="E321" s="44" t="inlineStr"/>
      <c r="F321" s="44" t="inlineStr"/>
      <c r="G321" s="44" t="inlineStr"/>
      <c r="H321" s="44" t="inlineStr"/>
      <c r="I321" s="44" t="inlineStr"/>
    </row>
    <row r="322" ht="22" customHeight="1">
      <c r="A322" s="48" t="n">
        <v>46341</v>
      </c>
      <c r="B322" s="49" t="inlineStr">
        <is>
          <t>Sunday</t>
        </is>
      </c>
      <c r="C322" s="49" t="inlineStr">
        <is>
          <t>Rest Day</t>
        </is>
      </c>
      <c r="D322" s="49" t="n">
        <v>0</v>
      </c>
      <c r="E322" s="49" t="inlineStr"/>
      <c r="F322" s="49" t="inlineStr"/>
      <c r="G322" s="49" t="inlineStr"/>
      <c r="H322" s="49" t="inlineStr"/>
      <c r="I322" s="49" t="inlineStr"/>
    </row>
    <row r="323" ht="22" customHeight="1">
      <c r="A323" s="43" t="n">
        <v>46342</v>
      </c>
      <c r="B323" s="44" t="inlineStr">
        <is>
          <t>Monday</t>
        </is>
      </c>
      <c r="C323" s="44" t="inlineStr">
        <is>
          <t>Grind Day</t>
        </is>
      </c>
      <c r="D323" s="41" t="n">
        <v>0</v>
      </c>
      <c r="E323" s="44" t="inlineStr"/>
      <c r="F323" s="44" t="inlineStr"/>
      <c r="G323" s="44" t="inlineStr"/>
      <c r="H323" s="44" t="inlineStr"/>
      <c r="I323" s="44" t="inlineStr"/>
    </row>
    <row r="324" ht="22" customHeight="1">
      <c r="A324" s="39" t="n">
        <v>46343</v>
      </c>
      <c r="B324" s="40" t="inlineStr">
        <is>
          <t>Tuesday</t>
        </is>
      </c>
      <c r="C324" s="40" t="inlineStr">
        <is>
          <t>Grind Day</t>
        </is>
      </c>
      <c r="D324" s="41" t="n">
        <v>0</v>
      </c>
      <c r="E324" s="40" t="inlineStr"/>
      <c r="F324" s="40" t="inlineStr"/>
      <c r="G324" s="40" t="inlineStr"/>
      <c r="H324" s="40" t="inlineStr"/>
      <c r="I324" s="40" t="inlineStr"/>
    </row>
    <row r="325" ht="22" customHeight="1">
      <c r="A325" s="43" t="n">
        <v>46344</v>
      </c>
      <c r="B325" s="44" t="inlineStr">
        <is>
          <t>Wednesday</t>
        </is>
      </c>
      <c r="C325" s="44" t="inlineStr">
        <is>
          <t>Grind Day</t>
        </is>
      </c>
      <c r="D325" s="41" t="n">
        <v>0</v>
      </c>
      <c r="E325" s="44" t="inlineStr"/>
      <c r="F325" s="44" t="inlineStr"/>
      <c r="G325" s="44" t="inlineStr"/>
      <c r="H325" s="44" t="inlineStr"/>
      <c r="I325" s="44" t="inlineStr"/>
    </row>
    <row r="326" ht="22" customHeight="1">
      <c r="A326" s="48" t="n">
        <v>46345</v>
      </c>
      <c r="B326" s="49" t="inlineStr">
        <is>
          <t>Thursday</t>
        </is>
      </c>
      <c r="C326" s="49" t="inlineStr">
        <is>
          <t>Rest Day</t>
        </is>
      </c>
      <c r="D326" s="49" t="n">
        <v>0</v>
      </c>
      <c r="E326" s="49" t="inlineStr"/>
      <c r="F326" s="49" t="inlineStr"/>
      <c r="G326" s="49" t="inlineStr"/>
      <c r="H326" s="49" t="inlineStr"/>
      <c r="I326" s="49" t="inlineStr"/>
    </row>
    <row r="327" ht="22" customHeight="1">
      <c r="A327" s="43" t="n">
        <v>46346</v>
      </c>
      <c r="B327" s="44" t="inlineStr">
        <is>
          <t>Friday</t>
        </is>
      </c>
      <c r="C327" s="44" t="inlineStr">
        <is>
          <t>Grind Day</t>
        </is>
      </c>
      <c r="D327" s="41" t="n">
        <v>0</v>
      </c>
      <c r="E327" s="44" t="inlineStr"/>
      <c r="F327" s="44" t="inlineStr"/>
      <c r="G327" s="44" t="inlineStr"/>
      <c r="H327" s="44" t="inlineStr"/>
      <c r="I327" s="44" t="inlineStr"/>
    </row>
    <row r="328" ht="22" customHeight="1">
      <c r="A328" s="39" t="n">
        <v>46347</v>
      </c>
      <c r="B328" s="40" t="inlineStr">
        <is>
          <t>Saturday</t>
        </is>
      </c>
      <c r="C328" s="40" t="inlineStr">
        <is>
          <t>Grind Day</t>
        </is>
      </c>
      <c r="D328" s="41" t="n">
        <v>0</v>
      </c>
      <c r="E328" s="40" t="inlineStr"/>
      <c r="F328" s="40" t="inlineStr"/>
      <c r="G328" s="40" t="inlineStr"/>
      <c r="H328" s="40" t="inlineStr"/>
      <c r="I328" s="40" t="inlineStr"/>
    </row>
    <row r="329" ht="22" customHeight="1">
      <c r="A329" s="48" t="n">
        <v>46348</v>
      </c>
      <c r="B329" s="49" t="inlineStr">
        <is>
          <t>Sunday</t>
        </is>
      </c>
      <c r="C329" s="49" t="inlineStr">
        <is>
          <t>Rest Day</t>
        </is>
      </c>
      <c r="D329" s="49" t="n">
        <v>0</v>
      </c>
      <c r="E329" s="49" t="inlineStr"/>
      <c r="F329" s="49" t="inlineStr"/>
      <c r="G329" s="49" t="inlineStr"/>
      <c r="H329" s="49" t="inlineStr"/>
      <c r="I329" s="49" t="inlineStr"/>
    </row>
    <row r="330" ht="22" customHeight="1">
      <c r="A330" s="39" t="n">
        <v>46349</v>
      </c>
      <c r="B330" s="40" t="inlineStr">
        <is>
          <t>Monday</t>
        </is>
      </c>
      <c r="C330" s="40" t="inlineStr">
        <is>
          <t>Grind Day</t>
        </is>
      </c>
      <c r="D330" s="41" t="n">
        <v>0</v>
      </c>
      <c r="E330" s="40" t="inlineStr"/>
      <c r="F330" s="40" t="inlineStr"/>
      <c r="G330" s="40" t="inlineStr"/>
      <c r="H330" s="40" t="inlineStr"/>
      <c r="I330" s="40" t="inlineStr"/>
    </row>
    <row r="331" ht="22" customHeight="1">
      <c r="A331" s="43" t="n">
        <v>46350</v>
      </c>
      <c r="B331" s="44" t="inlineStr">
        <is>
          <t>Tuesday</t>
        </is>
      </c>
      <c r="C331" s="44" t="inlineStr">
        <is>
          <t>Grind Day</t>
        </is>
      </c>
      <c r="D331" s="41" t="n">
        <v>0</v>
      </c>
      <c r="E331" s="44" t="inlineStr"/>
      <c r="F331" s="44" t="inlineStr"/>
      <c r="G331" s="44" t="inlineStr"/>
      <c r="H331" s="44" t="inlineStr"/>
      <c r="I331" s="44" t="inlineStr"/>
    </row>
    <row r="332" ht="22" customHeight="1">
      <c r="A332" s="39" t="n">
        <v>46351</v>
      </c>
      <c r="B332" s="40" t="inlineStr">
        <is>
          <t>Wednesday</t>
        </is>
      </c>
      <c r="C332" s="40" t="inlineStr">
        <is>
          <t>Grind Day</t>
        </is>
      </c>
      <c r="D332" s="41" t="n">
        <v>0</v>
      </c>
      <c r="E332" s="40" t="inlineStr"/>
      <c r="F332" s="40" t="inlineStr"/>
      <c r="G332" s="40" t="inlineStr"/>
      <c r="H332" s="40" t="inlineStr"/>
      <c r="I332" s="40" t="inlineStr"/>
    </row>
    <row r="333" ht="22" customHeight="1">
      <c r="A333" s="48" t="n">
        <v>46352</v>
      </c>
      <c r="B333" s="49" t="inlineStr">
        <is>
          <t>Thursday</t>
        </is>
      </c>
      <c r="C333" s="49" t="inlineStr">
        <is>
          <t>Rest Day</t>
        </is>
      </c>
      <c r="D333" s="49" t="n">
        <v>0</v>
      </c>
      <c r="E333" s="49" t="inlineStr"/>
      <c r="F333" s="49" t="inlineStr"/>
      <c r="G333" s="49" t="inlineStr"/>
      <c r="H333" s="49" t="inlineStr"/>
      <c r="I333" s="49" t="inlineStr"/>
    </row>
    <row r="334" ht="22" customHeight="1">
      <c r="A334" s="39" t="n">
        <v>46353</v>
      </c>
      <c r="B334" s="40" t="inlineStr">
        <is>
          <t>Friday</t>
        </is>
      </c>
      <c r="C334" s="40" t="inlineStr">
        <is>
          <t>Grind Day</t>
        </is>
      </c>
      <c r="D334" s="41" t="n">
        <v>0</v>
      </c>
      <c r="E334" s="40" t="inlineStr"/>
      <c r="F334" s="40" t="inlineStr"/>
      <c r="G334" s="40" t="inlineStr"/>
      <c r="H334" s="40" t="inlineStr"/>
      <c r="I334" s="40" t="inlineStr"/>
    </row>
    <row r="335" ht="22" customHeight="1">
      <c r="A335" s="43" t="n">
        <v>46354</v>
      </c>
      <c r="B335" s="44" t="inlineStr">
        <is>
          <t>Saturday</t>
        </is>
      </c>
      <c r="C335" s="44" t="inlineStr">
        <is>
          <t>Grind Day</t>
        </is>
      </c>
      <c r="D335" s="41" t="n">
        <v>0</v>
      </c>
      <c r="E335" s="44" t="inlineStr"/>
      <c r="F335" s="44" t="inlineStr"/>
      <c r="G335" s="44" t="inlineStr"/>
      <c r="H335" s="44" t="inlineStr"/>
      <c r="I335" s="44" t="inlineStr"/>
    </row>
    <row r="336" ht="22" customHeight="1">
      <c r="A336" s="48" t="n">
        <v>46355</v>
      </c>
      <c r="B336" s="49" t="inlineStr">
        <is>
          <t>Sunday</t>
        </is>
      </c>
      <c r="C336" s="49" t="inlineStr">
        <is>
          <t>Rest Day</t>
        </is>
      </c>
      <c r="D336" s="49" t="n">
        <v>0</v>
      </c>
      <c r="E336" s="49" t="inlineStr"/>
      <c r="F336" s="49" t="inlineStr"/>
      <c r="G336" s="49" t="inlineStr"/>
      <c r="H336" s="49" t="inlineStr"/>
      <c r="I336" s="49" t="inlineStr"/>
    </row>
    <row r="337" ht="22" customHeight="1">
      <c r="A337" s="43" t="n">
        <v>46356</v>
      </c>
      <c r="B337" s="44" t="inlineStr">
        <is>
          <t>Monday</t>
        </is>
      </c>
      <c r="C337" s="44" t="inlineStr">
        <is>
          <t>Grind Day</t>
        </is>
      </c>
      <c r="D337" s="41" t="n">
        <v>0</v>
      </c>
      <c r="E337" s="44" t="inlineStr"/>
      <c r="F337" s="44" t="inlineStr"/>
      <c r="G337" s="44" t="inlineStr"/>
      <c r="H337" s="44" t="inlineStr"/>
      <c r="I337" s="44" t="inlineStr"/>
    </row>
    <row r="338" ht="22" customHeight="1">
      <c r="A338" s="39" t="n">
        <v>46357</v>
      </c>
      <c r="B338" s="40" t="inlineStr">
        <is>
          <t>Tuesday</t>
        </is>
      </c>
      <c r="C338" s="40" t="inlineStr">
        <is>
          <t>Grind Day</t>
        </is>
      </c>
      <c r="D338" s="41" t="n">
        <v>0</v>
      </c>
      <c r="E338" s="40" t="inlineStr"/>
      <c r="F338" s="40" t="inlineStr"/>
      <c r="G338" s="40" t="inlineStr"/>
      <c r="H338" s="40" t="inlineStr"/>
      <c r="I338" s="40" t="inlineStr"/>
    </row>
    <row r="339" ht="22" customHeight="1">
      <c r="A339" s="43" t="n">
        <v>46358</v>
      </c>
      <c r="B339" s="44" t="inlineStr">
        <is>
          <t>Wednesday</t>
        </is>
      </c>
      <c r="C339" s="44" t="inlineStr">
        <is>
          <t>Grind Day</t>
        </is>
      </c>
      <c r="D339" s="41" t="n">
        <v>0</v>
      </c>
      <c r="E339" s="44" t="inlineStr"/>
      <c r="F339" s="44" t="inlineStr"/>
      <c r="G339" s="44" t="inlineStr"/>
      <c r="H339" s="44" t="inlineStr"/>
      <c r="I339" s="44" t="inlineStr"/>
    </row>
    <row r="340" ht="22" customHeight="1">
      <c r="A340" s="48" t="n">
        <v>46359</v>
      </c>
      <c r="B340" s="49" t="inlineStr">
        <is>
          <t>Thursday</t>
        </is>
      </c>
      <c r="C340" s="49" t="inlineStr">
        <is>
          <t>Rest Day</t>
        </is>
      </c>
      <c r="D340" s="49" t="n">
        <v>0</v>
      </c>
      <c r="E340" s="49" t="inlineStr"/>
      <c r="F340" s="49" t="inlineStr"/>
      <c r="G340" s="49" t="inlineStr"/>
      <c r="H340" s="49" t="inlineStr"/>
      <c r="I340" s="49" t="inlineStr"/>
    </row>
    <row r="341" ht="22" customHeight="1">
      <c r="A341" s="43" t="n">
        <v>46360</v>
      </c>
      <c r="B341" s="44" t="inlineStr">
        <is>
          <t>Friday</t>
        </is>
      </c>
      <c r="C341" s="44" t="inlineStr">
        <is>
          <t>Grind Day</t>
        </is>
      </c>
      <c r="D341" s="41" t="n">
        <v>0</v>
      </c>
      <c r="E341" s="44" t="inlineStr"/>
      <c r="F341" s="44" t="inlineStr"/>
      <c r="G341" s="44" t="inlineStr"/>
      <c r="H341" s="44" t="inlineStr"/>
      <c r="I341" s="44" t="inlineStr"/>
    </row>
    <row r="342" ht="22" customHeight="1">
      <c r="A342" s="39" t="n">
        <v>46361</v>
      </c>
      <c r="B342" s="40" t="inlineStr">
        <is>
          <t>Saturday</t>
        </is>
      </c>
      <c r="C342" s="40" t="inlineStr">
        <is>
          <t>Grind Day</t>
        </is>
      </c>
      <c r="D342" s="41" t="n">
        <v>0</v>
      </c>
      <c r="E342" s="40" t="inlineStr"/>
      <c r="F342" s="40" t="inlineStr"/>
      <c r="G342" s="40" t="inlineStr"/>
      <c r="H342" s="40" t="inlineStr"/>
      <c r="I342" s="40" t="inlineStr"/>
    </row>
    <row r="343" ht="22" customHeight="1">
      <c r="A343" s="48" t="n">
        <v>46362</v>
      </c>
      <c r="B343" s="49" t="inlineStr">
        <is>
          <t>Sunday</t>
        </is>
      </c>
      <c r="C343" s="49" t="inlineStr">
        <is>
          <t>Rest Day</t>
        </is>
      </c>
      <c r="D343" s="49" t="n">
        <v>0</v>
      </c>
      <c r="E343" s="49" t="inlineStr"/>
      <c r="F343" s="49" t="inlineStr"/>
      <c r="G343" s="49" t="inlineStr"/>
      <c r="H343" s="49" t="inlineStr"/>
      <c r="I343" s="49" t="inlineStr"/>
    </row>
    <row r="344" ht="22" customHeight="1">
      <c r="A344" s="39" t="n">
        <v>46363</v>
      </c>
      <c r="B344" s="40" t="inlineStr">
        <is>
          <t>Monday</t>
        </is>
      </c>
      <c r="C344" s="40" t="inlineStr">
        <is>
          <t>Grind Day</t>
        </is>
      </c>
      <c r="D344" s="41" t="n">
        <v>0</v>
      </c>
      <c r="E344" s="40" t="inlineStr"/>
      <c r="F344" s="40" t="inlineStr"/>
      <c r="G344" s="40" t="inlineStr"/>
      <c r="H344" s="40" t="inlineStr"/>
      <c r="I344" s="40" t="inlineStr"/>
    </row>
    <row r="345" ht="22" customHeight="1">
      <c r="A345" s="43" t="n">
        <v>46364</v>
      </c>
      <c r="B345" s="44" t="inlineStr">
        <is>
          <t>Tuesday</t>
        </is>
      </c>
      <c r="C345" s="44" t="inlineStr">
        <is>
          <t>Grind Day</t>
        </is>
      </c>
      <c r="D345" s="41" t="n">
        <v>0</v>
      </c>
      <c r="E345" s="44" t="inlineStr"/>
      <c r="F345" s="44" t="inlineStr"/>
      <c r="G345" s="44" t="inlineStr"/>
      <c r="H345" s="44" t="inlineStr"/>
      <c r="I345" s="44" t="inlineStr"/>
    </row>
    <row r="346" ht="22" customHeight="1">
      <c r="A346" s="39" t="n">
        <v>46365</v>
      </c>
      <c r="B346" s="40" t="inlineStr">
        <is>
          <t>Wednesday</t>
        </is>
      </c>
      <c r="C346" s="40" t="inlineStr">
        <is>
          <t>Grind Day</t>
        </is>
      </c>
      <c r="D346" s="41" t="n">
        <v>0</v>
      </c>
      <c r="E346" s="40" t="inlineStr"/>
      <c r="F346" s="40" t="inlineStr"/>
      <c r="G346" s="40" t="inlineStr"/>
      <c r="H346" s="40" t="inlineStr"/>
      <c r="I346" s="40" t="inlineStr"/>
    </row>
    <row r="347" ht="22" customHeight="1">
      <c r="A347" s="48" t="n">
        <v>46366</v>
      </c>
      <c r="B347" s="49" t="inlineStr">
        <is>
          <t>Thursday</t>
        </is>
      </c>
      <c r="C347" s="49" t="inlineStr">
        <is>
          <t>Rest Day</t>
        </is>
      </c>
      <c r="D347" s="49" t="n">
        <v>0</v>
      </c>
      <c r="E347" s="49" t="inlineStr"/>
      <c r="F347" s="49" t="inlineStr"/>
      <c r="G347" s="49" t="inlineStr"/>
      <c r="H347" s="49" t="inlineStr"/>
      <c r="I347" s="49" t="inlineStr"/>
    </row>
    <row r="348" ht="22" customHeight="1">
      <c r="A348" s="39" t="n">
        <v>46367</v>
      </c>
      <c r="B348" s="40" t="inlineStr">
        <is>
          <t>Friday</t>
        </is>
      </c>
      <c r="C348" s="40" t="inlineStr">
        <is>
          <t>Grind Day</t>
        </is>
      </c>
      <c r="D348" s="41" t="n">
        <v>0</v>
      </c>
      <c r="E348" s="40" t="inlineStr"/>
      <c r="F348" s="40" t="inlineStr"/>
      <c r="G348" s="40" t="inlineStr"/>
      <c r="H348" s="40" t="inlineStr"/>
      <c r="I348" s="40" t="inlineStr"/>
    </row>
    <row r="349" ht="22" customHeight="1">
      <c r="A349" s="43" t="n">
        <v>46368</v>
      </c>
      <c r="B349" s="44" t="inlineStr">
        <is>
          <t>Saturday</t>
        </is>
      </c>
      <c r="C349" s="44" t="inlineStr">
        <is>
          <t>Grind Day</t>
        </is>
      </c>
      <c r="D349" s="41" t="n">
        <v>0</v>
      </c>
      <c r="E349" s="44" t="inlineStr"/>
      <c r="F349" s="44" t="inlineStr"/>
      <c r="G349" s="44" t="inlineStr"/>
      <c r="H349" s="44" t="inlineStr"/>
      <c r="I349" s="44" t="inlineStr"/>
    </row>
    <row r="350" ht="22" customHeight="1">
      <c r="A350" s="48" t="n">
        <v>46369</v>
      </c>
      <c r="B350" s="49" t="inlineStr">
        <is>
          <t>Sunday</t>
        </is>
      </c>
      <c r="C350" s="49" t="inlineStr">
        <is>
          <t>Rest Day</t>
        </is>
      </c>
      <c r="D350" s="49" t="n">
        <v>0</v>
      </c>
      <c r="E350" s="49" t="inlineStr"/>
      <c r="F350" s="49" t="inlineStr"/>
      <c r="G350" s="49" t="inlineStr"/>
      <c r="H350" s="49" t="inlineStr"/>
      <c r="I350" s="49" t="inlineStr"/>
    </row>
    <row r="351" ht="22" customHeight="1">
      <c r="A351" s="43" t="n">
        <v>46370</v>
      </c>
      <c r="B351" s="44" t="inlineStr">
        <is>
          <t>Monday</t>
        </is>
      </c>
      <c r="C351" s="44" t="inlineStr">
        <is>
          <t>Grind Day</t>
        </is>
      </c>
      <c r="D351" s="41" t="n">
        <v>0</v>
      </c>
      <c r="E351" s="44" t="inlineStr"/>
      <c r="F351" s="44" t="inlineStr"/>
      <c r="G351" s="44" t="inlineStr"/>
      <c r="H351" s="44" t="inlineStr"/>
      <c r="I351" s="44" t="inlineStr"/>
    </row>
    <row r="352" ht="22" customHeight="1">
      <c r="A352" s="39" t="n">
        <v>46371</v>
      </c>
      <c r="B352" s="40" t="inlineStr">
        <is>
          <t>Tuesday</t>
        </is>
      </c>
      <c r="C352" s="40" t="inlineStr">
        <is>
          <t>Grind Day</t>
        </is>
      </c>
      <c r="D352" s="41" t="n">
        <v>0</v>
      </c>
      <c r="E352" s="40" t="inlineStr"/>
      <c r="F352" s="40" t="inlineStr"/>
      <c r="G352" s="40" t="inlineStr"/>
      <c r="H352" s="40" t="inlineStr"/>
      <c r="I352" s="40" t="inlineStr"/>
    </row>
    <row r="353" ht="22" customHeight="1">
      <c r="A353" s="43" t="n">
        <v>46372</v>
      </c>
      <c r="B353" s="44" t="inlineStr">
        <is>
          <t>Wednesday</t>
        </is>
      </c>
      <c r="C353" s="44" t="inlineStr">
        <is>
          <t>Grind Day</t>
        </is>
      </c>
      <c r="D353" s="41" t="n">
        <v>0</v>
      </c>
      <c r="E353" s="44" t="inlineStr"/>
      <c r="F353" s="44" t="inlineStr"/>
      <c r="G353" s="44" t="inlineStr"/>
      <c r="H353" s="44" t="inlineStr"/>
      <c r="I353" s="44" t="inlineStr"/>
    </row>
    <row r="354" ht="22" customHeight="1">
      <c r="A354" s="48" t="n">
        <v>46373</v>
      </c>
      <c r="B354" s="49" t="inlineStr">
        <is>
          <t>Thursday</t>
        </is>
      </c>
      <c r="C354" s="49" t="inlineStr">
        <is>
          <t>Rest Day</t>
        </is>
      </c>
      <c r="D354" s="49" t="n">
        <v>0</v>
      </c>
      <c r="E354" s="49" t="inlineStr"/>
      <c r="F354" s="49" t="inlineStr"/>
      <c r="G354" s="49" t="inlineStr"/>
      <c r="H354" s="49" t="inlineStr"/>
      <c r="I354" s="49" t="inlineStr"/>
    </row>
    <row r="355" ht="22" customHeight="1">
      <c r="A355" s="43" t="n">
        <v>46374</v>
      </c>
      <c r="B355" s="44" t="inlineStr">
        <is>
          <t>Friday</t>
        </is>
      </c>
      <c r="C355" s="44" t="inlineStr">
        <is>
          <t>Grind Day</t>
        </is>
      </c>
      <c r="D355" s="41" t="n">
        <v>0</v>
      </c>
      <c r="E355" s="44" t="inlineStr"/>
      <c r="F355" s="44" t="inlineStr"/>
      <c r="G355" s="44" t="inlineStr"/>
      <c r="H355" s="44" t="inlineStr"/>
      <c r="I355" s="44" t="inlineStr"/>
    </row>
    <row r="356" ht="22" customHeight="1">
      <c r="A356" s="39" t="n">
        <v>46375</v>
      </c>
      <c r="B356" s="40" t="inlineStr">
        <is>
          <t>Saturday</t>
        </is>
      </c>
      <c r="C356" s="40" t="inlineStr">
        <is>
          <t>Grind Day</t>
        </is>
      </c>
      <c r="D356" s="41" t="n">
        <v>0</v>
      </c>
      <c r="E356" s="40" t="inlineStr"/>
      <c r="F356" s="40" t="inlineStr"/>
      <c r="G356" s="40" t="inlineStr"/>
      <c r="H356" s="40" t="inlineStr"/>
      <c r="I356" s="40" t="inlineStr"/>
    </row>
    <row r="357" ht="22" customHeight="1">
      <c r="A357" s="48" t="n">
        <v>46376</v>
      </c>
      <c r="B357" s="49" t="inlineStr">
        <is>
          <t>Sunday</t>
        </is>
      </c>
      <c r="C357" s="49" t="inlineStr">
        <is>
          <t>Rest Day</t>
        </is>
      </c>
      <c r="D357" s="49" t="n">
        <v>0</v>
      </c>
      <c r="E357" s="49" t="inlineStr"/>
      <c r="F357" s="49" t="inlineStr"/>
      <c r="G357" s="49" t="inlineStr"/>
      <c r="H357" s="49" t="inlineStr"/>
      <c r="I357" s="49" t="inlineStr"/>
    </row>
    <row r="358" ht="22" customHeight="1">
      <c r="A358" s="39" t="n">
        <v>46377</v>
      </c>
      <c r="B358" s="40" t="inlineStr">
        <is>
          <t>Monday</t>
        </is>
      </c>
      <c r="C358" s="40" t="inlineStr">
        <is>
          <t>Grind Day</t>
        </is>
      </c>
      <c r="D358" s="41" t="n">
        <v>0</v>
      </c>
      <c r="E358" s="40" t="inlineStr"/>
      <c r="F358" s="40" t="inlineStr"/>
      <c r="G358" s="40" t="inlineStr"/>
      <c r="H358" s="40" t="inlineStr"/>
      <c r="I358" s="40" t="inlineStr"/>
    </row>
    <row r="359" ht="22" customHeight="1">
      <c r="A359" s="43" t="n">
        <v>46378</v>
      </c>
      <c r="B359" s="44" t="inlineStr">
        <is>
          <t>Tuesday</t>
        </is>
      </c>
      <c r="C359" s="44" t="inlineStr">
        <is>
          <t>Grind Day</t>
        </is>
      </c>
      <c r="D359" s="41" t="n">
        <v>0</v>
      </c>
      <c r="E359" s="44" t="inlineStr"/>
      <c r="F359" s="44" t="inlineStr"/>
      <c r="G359" s="44" t="inlineStr"/>
      <c r="H359" s="44" t="inlineStr"/>
      <c r="I359" s="44" t="inlineStr"/>
    </row>
    <row r="360" ht="22" customHeight="1">
      <c r="A360" s="39" t="n">
        <v>46379</v>
      </c>
      <c r="B360" s="40" t="inlineStr">
        <is>
          <t>Wednesday</t>
        </is>
      </c>
      <c r="C360" s="40" t="inlineStr">
        <is>
          <t>Grind Day</t>
        </is>
      </c>
      <c r="D360" s="41" t="n">
        <v>0</v>
      </c>
      <c r="E360" s="40" t="inlineStr"/>
      <c r="F360" s="40" t="inlineStr"/>
      <c r="G360" s="40" t="inlineStr"/>
      <c r="H360" s="40" t="inlineStr"/>
      <c r="I360" s="40" t="inlineStr"/>
    </row>
    <row r="361" ht="22" customHeight="1">
      <c r="A361" s="48" t="n">
        <v>46380</v>
      </c>
      <c r="B361" s="49" t="inlineStr">
        <is>
          <t>Thursday</t>
        </is>
      </c>
      <c r="C361" s="49" t="inlineStr">
        <is>
          <t>Rest Day</t>
        </is>
      </c>
      <c r="D361" s="49" t="n">
        <v>0</v>
      </c>
      <c r="E361" s="49" t="inlineStr"/>
      <c r="F361" s="49" t="inlineStr"/>
      <c r="G361" s="49" t="inlineStr"/>
      <c r="H361" s="49" t="inlineStr"/>
      <c r="I361" s="49" t="inlineStr"/>
    </row>
    <row r="362" ht="22" customHeight="1">
      <c r="A362" s="39" t="n">
        <v>46381</v>
      </c>
      <c r="B362" s="40" t="inlineStr">
        <is>
          <t>Friday</t>
        </is>
      </c>
      <c r="C362" s="40" t="inlineStr">
        <is>
          <t>Grind Day</t>
        </is>
      </c>
      <c r="D362" s="41" t="n">
        <v>0</v>
      </c>
      <c r="E362" s="40" t="inlineStr"/>
      <c r="F362" s="40" t="inlineStr"/>
      <c r="G362" s="40" t="inlineStr"/>
      <c r="H362" s="40" t="inlineStr"/>
      <c r="I362" s="40" t="inlineStr"/>
    </row>
    <row r="363" ht="22" customHeight="1">
      <c r="A363" s="43" t="n">
        <v>46382</v>
      </c>
      <c r="B363" s="44" t="inlineStr">
        <is>
          <t>Saturday</t>
        </is>
      </c>
      <c r="C363" s="44" t="inlineStr">
        <is>
          <t>Grind Day</t>
        </is>
      </c>
      <c r="D363" s="41" t="n">
        <v>0</v>
      </c>
      <c r="E363" s="44" t="inlineStr"/>
      <c r="F363" s="44" t="inlineStr"/>
      <c r="G363" s="44" t="inlineStr"/>
      <c r="H363" s="44" t="inlineStr"/>
      <c r="I363" s="44" t="inlineStr"/>
    </row>
    <row r="364" ht="22" customHeight="1">
      <c r="A364" s="48" t="n">
        <v>46383</v>
      </c>
      <c r="B364" s="49" t="inlineStr">
        <is>
          <t>Sunday</t>
        </is>
      </c>
      <c r="C364" s="49" t="inlineStr">
        <is>
          <t>Rest Day</t>
        </is>
      </c>
      <c r="D364" s="49" t="n">
        <v>0</v>
      </c>
      <c r="E364" s="49" t="inlineStr"/>
      <c r="F364" s="49" t="inlineStr"/>
      <c r="G364" s="49" t="inlineStr"/>
      <c r="H364" s="49" t="inlineStr"/>
      <c r="I364" s="49" t="inlineStr"/>
    </row>
    <row r="365" ht="22" customHeight="1">
      <c r="A365" s="43" t="n">
        <v>46384</v>
      </c>
      <c r="B365" s="44" t="inlineStr">
        <is>
          <t>Monday</t>
        </is>
      </c>
      <c r="C365" s="44" t="inlineStr">
        <is>
          <t>Grind Day</t>
        </is>
      </c>
      <c r="D365" s="41" t="n">
        <v>0</v>
      </c>
      <c r="E365" s="44" t="inlineStr"/>
      <c r="F365" s="44" t="inlineStr"/>
      <c r="G365" s="44" t="inlineStr"/>
      <c r="H365" s="44" t="inlineStr"/>
      <c r="I365" s="44" t="inlineStr"/>
    </row>
    <row r="366" ht="22" customHeight="1">
      <c r="A366" s="39" t="n">
        <v>46385</v>
      </c>
      <c r="B366" s="40" t="inlineStr">
        <is>
          <t>Tuesday</t>
        </is>
      </c>
      <c r="C366" s="40" t="inlineStr">
        <is>
          <t>Grind Day</t>
        </is>
      </c>
      <c r="D366" s="41" t="n">
        <v>0</v>
      </c>
      <c r="E366" s="40" t="inlineStr"/>
      <c r="F366" s="40" t="inlineStr"/>
      <c r="G366" s="40" t="inlineStr"/>
      <c r="H366" s="40" t="inlineStr"/>
      <c r="I366" s="40" t="inlineStr"/>
    </row>
    <row r="367" ht="22" customHeight="1">
      <c r="A367" s="43" t="n">
        <v>46386</v>
      </c>
      <c r="B367" s="44" t="inlineStr">
        <is>
          <t>Wednesday</t>
        </is>
      </c>
      <c r="C367" s="44" t="inlineStr">
        <is>
          <t>Grind Day</t>
        </is>
      </c>
      <c r="D367" s="41" t="n">
        <v>0</v>
      </c>
      <c r="E367" s="44" t="inlineStr"/>
      <c r="F367" s="44" t="inlineStr"/>
      <c r="G367" s="44" t="inlineStr"/>
      <c r="H367" s="44" t="inlineStr"/>
      <c r="I367" s="44" t="inlineStr"/>
    </row>
    <row r="368" ht="22" customHeight="1">
      <c r="A368" s="48" t="n">
        <v>46387</v>
      </c>
      <c r="B368" s="49" t="inlineStr">
        <is>
          <t>Thursday</t>
        </is>
      </c>
      <c r="C368" s="49" t="inlineStr">
        <is>
          <t>Rest Day</t>
        </is>
      </c>
      <c r="D368" s="49" t="n">
        <v>0</v>
      </c>
      <c r="E368" s="49" t="inlineStr"/>
      <c r="F368" s="49" t="inlineStr"/>
      <c r="G368" s="49" t="inlineStr"/>
      <c r="H368" s="49" t="inlineStr"/>
      <c r="I368" s="49" t="inlineStr"/>
    </row>
  </sheetData>
  <autoFilter ref="A3:I368"/>
  <mergeCells count="2">
    <mergeCell ref="A1:I1"/>
    <mergeCell ref="A2:I2"/>
  </mergeCells>
  <conditionalFormatting sqref="D4:D368">
    <cfRule type="expression" priority="1" dxfId="4">
      <formula>AND(C4="Grind Day",D4=1)</formula>
    </cfRule>
  </conditionalFormatting>
  <dataValidations count="1">
    <dataValidation sqref="H4:H368" showDropDown="0" showInputMessage="0" showErrorMessage="0" allowBlank="1" type="list">
      <formula1>"Low,Medium,High,Very High"</formula1>
    </dataValidation>
  </dataValidations>
  <pageMargins left="0.75" right="0.75" top="1" bottom="1" header="0.5" footer="0.5"/>
  <extLst>
    <ext xmlns:x14="http://schemas.microsoft.com/office/spreadsheetml/2009/9/main" uri="{CCF9B9E7-4FED-4B87-89B2-7A4E5FC3597B}">
      <x14:dataValidations>
        <x14:dataValidation type="checkBox">
          <xm:sqref xmlns:xm="http://schemas.microsoft.com/office/excel/2006/main">D4:D368</xm:sqref>
        </x14:dataValidation>
      </x14:dataValidations>
    </ext>
  </extLst>
</worksheet>
</file>

<file path=xl/worksheets/sheet4.xml><?xml version="1.0" encoding="utf-8"?>
<worksheet xmlns="http://schemas.openxmlformats.org/spreadsheetml/2006/main">
  <sheetPr>
    <tabColor rgb="00F57C00"/>
    <outlinePr summaryBelow="1" summaryRight="1"/>
    <pageSetUpPr/>
  </sheetPr>
  <dimension ref="A1:F3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4" customWidth="1" min="4" max="4"/>
    <col width="16" customWidth="1" min="5" max="5"/>
    <col width="25" customWidth="1" min="6" max="6"/>
  </cols>
  <sheetData>
    <row r="1" ht="32" customHeight="1">
      <c r="A1" s="50" t="inlineStr">
        <is>
          <t>💊  SUPPLEMENTS TRACKER 2026</t>
        </is>
      </c>
    </row>
    <row r="2" ht="24" customHeight="1">
      <c r="A2" s="51" t="inlineStr">
        <is>
          <t>Tap each cell to check  •  Both Completed auto-calculates  •  Unchecked cells → RED by default</t>
        </is>
      </c>
    </row>
    <row r="3" ht="28" customHeight="1">
      <c r="A3" s="7" t="inlineStr">
        <is>
          <t>Date</t>
        </is>
      </c>
      <c r="B3" s="7" t="inlineStr">
        <is>
          <t>Day</t>
        </is>
      </c>
      <c r="C3" s="7" t="inlineStr">
        <is>
          <t>Multivitamin</t>
        </is>
      </c>
      <c r="D3" s="7" t="inlineStr">
        <is>
          <t>Omega</t>
        </is>
      </c>
      <c r="E3" s="7" t="inlineStr">
        <is>
          <t>Both Completed</t>
        </is>
      </c>
      <c r="F3" s="7" t="inlineStr">
        <is>
          <t>Notes</t>
        </is>
      </c>
    </row>
    <row r="4" ht="22" customHeight="1">
      <c r="A4" s="39" t="n">
        <v>46023</v>
      </c>
      <c r="B4" s="40" t="inlineStr">
        <is>
          <t>Thursday</t>
        </is>
      </c>
      <c r="C4" s="41" t="n">
        <v>0</v>
      </c>
      <c r="D4" s="41" t="n">
        <v>0</v>
      </c>
      <c r="E4" s="41">
        <f>C4*D4</f>
        <v/>
      </c>
      <c r="F4" s="40" t="inlineStr"/>
    </row>
    <row r="5" ht="22" customHeight="1">
      <c r="A5" s="43" t="n">
        <v>46024</v>
      </c>
      <c r="B5" s="44" t="inlineStr">
        <is>
          <t>Friday</t>
        </is>
      </c>
      <c r="C5" s="41" t="n">
        <v>0</v>
      </c>
      <c r="D5" s="41" t="n">
        <v>0</v>
      </c>
      <c r="E5" s="41">
        <f>C5*D5</f>
        <v/>
      </c>
      <c r="F5" s="44" t="inlineStr"/>
    </row>
    <row r="6" ht="22" customHeight="1">
      <c r="A6" s="39" t="n">
        <v>46025</v>
      </c>
      <c r="B6" s="40" t="inlineStr">
        <is>
          <t>Saturday</t>
        </is>
      </c>
      <c r="C6" s="41" t="n">
        <v>0</v>
      </c>
      <c r="D6" s="41" t="n">
        <v>0</v>
      </c>
      <c r="E6" s="41">
        <f>C6*D6</f>
        <v/>
      </c>
      <c r="F6" s="40" t="inlineStr"/>
    </row>
    <row r="7" ht="22" customHeight="1">
      <c r="A7" s="43" t="n">
        <v>46026</v>
      </c>
      <c r="B7" s="44" t="inlineStr">
        <is>
          <t>Sunday</t>
        </is>
      </c>
      <c r="C7" s="41" t="n">
        <v>0</v>
      </c>
      <c r="D7" s="41" t="n">
        <v>0</v>
      </c>
      <c r="E7" s="41">
        <f>C7*D7</f>
        <v/>
      </c>
      <c r="F7" s="44" t="inlineStr"/>
    </row>
    <row r="8" ht="22" customHeight="1">
      <c r="A8" s="39" t="n">
        <v>46027</v>
      </c>
      <c r="B8" s="40" t="inlineStr">
        <is>
          <t>Monday</t>
        </is>
      </c>
      <c r="C8" s="41" t="n">
        <v>0</v>
      </c>
      <c r="D8" s="41" t="n">
        <v>0</v>
      </c>
      <c r="E8" s="41">
        <f>C8*D8</f>
        <v/>
      </c>
      <c r="F8" s="40" t="inlineStr"/>
    </row>
    <row r="9" ht="22" customHeight="1">
      <c r="A9" s="43" t="n">
        <v>46028</v>
      </c>
      <c r="B9" s="44" t="inlineStr">
        <is>
          <t>Tuesday</t>
        </is>
      </c>
      <c r="C9" s="41" t="n">
        <v>0</v>
      </c>
      <c r="D9" s="41" t="n">
        <v>0</v>
      </c>
      <c r="E9" s="41">
        <f>C9*D9</f>
        <v/>
      </c>
      <c r="F9" s="44" t="inlineStr"/>
    </row>
    <row r="10" ht="22" customHeight="1">
      <c r="A10" s="39" t="n">
        <v>46029</v>
      </c>
      <c r="B10" s="40" t="inlineStr">
        <is>
          <t>Wednesday</t>
        </is>
      </c>
      <c r="C10" s="41" t="n">
        <v>0</v>
      </c>
      <c r="D10" s="41" t="n">
        <v>0</v>
      </c>
      <c r="E10" s="41">
        <f>C10*D10</f>
        <v/>
      </c>
      <c r="F10" s="40" t="inlineStr"/>
    </row>
    <row r="11" ht="22" customHeight="1">
      <c r="A11" s="43" t="n">
        <v>46030</v>
      </c>
      <c r="B11" s="44" t="inlineStr">
        <is>
          <t>Thursday</t>
        </is>
      </c>
      <c r="C11" s="41" t="n">
        <v>0</v>
      </c>
      <c r="D11" s="41" t="n">
        <v>0</v>
      </c>
      <c r="E11" s="41">
        <f>C11*D11</f>
        <v/>
      </c>
      <c r="F11" s="44" t="inlineStr"/>
    </row>
    <row r="12" ht="22" customHeight="1">
      <c r="A12" s="39" t="n">
        <v>46031</v>
      </c>
      <c r="B12" s="40" t="inlineStr">
        <is>
          <t>Friday</t>
        </is>
      </c>
      <c r="C12" s="41" t="n">
        <v>0</v>
      </c>
      <c r="D12" s="41" t="n">
        <v>0</v>
      </c>
      <c r="E12" s="41">
        <f>C12*D12</f>
        <v/>
      </c>
      <c r="F12" s="40" t="inlineStr"/>
    </row>
    <row r="13" ht="22" customHeight="1">
      <c r="A13" s="43" t="n">
        <v>46032</v>
      </c>
      <c r="B13" s="44" t="inlineStr">
        <is>
          <t>Saturday</t>
        </is>
      </c>
      <c r="C13" s="41" t="n">
        <v>0</v>
      </c>
      <c r="D13" s="41" t="n">
        <v>0</v>
      </c>
      <c r="E13" s="41">
        <f>C13*D13</f>
        <v/>
      </c>
      <c r="F13" s="44" t="inlineStr"/>
    </row>
    <row r="14" ht="22" customHeight="1">
      <c r="A14" s="39" t="n">
        <v>46033</v>
      </c>
      <c r="B14" s="40" t="inlineStr">
        <is>
          <t>Sunday</t>
        </is>
      </c>
      <c r="C14" s="41" t="n">
        <v>0</v>
      </c>
      <c r="D14" s="41" t="n">
        <v>0</v>
      </c>
      <c r="E14" s="41">
        <f>C14*D14</f>
        <v/>
      </c>
      <c r="F14" s="40" t="inlineStr"/>
    </row>
    <row r="15" ht="22" customHeight="1">
      <c r="A15" s="43" t="n">
        <v>46034</v>
      </c>
      <c r="B15" s="44" t="inlineStr">
        <is>
          <t>Monday</t>
        </is>
      </c>
      <c r="C15" s="41" t="n">
        <v>0</v>
      </c>
      <c r="D15" s="41" t="n">
        <v>0</v>
      </c>
      <c r="E15" s="41">
        <f>C15*D15</f>
        <v/>
      </c>
      <c r="F15" s="44" t="inlineStr"/>
    </row>
    <row r="16" ht="22" customHeight="1">
      <c r="A16" s="39" t="n">
        <v>46035</v>
      </c>
      <c r="B16" s="40" t="inlineStr">
        <is>
          <t>Tuesday</t>
        </is>
      </c>
      <c r="C16" s="41" t="n">
        <v>0</v>
      </c>
      <c r="D16" s="41" t="n">
        <v>0</v>
      </c>
      <c r="E16" s="41">
        <f>C16*D16</f>
        <v/>
      </c>
      <c r="F16" s="40" t="inlineStr"/>
    </row>
    <row r="17" ht="22" customHeight="1">
      <c r="A17" s="43" t="n">
        <v>46036</v>
      </c>
      <c r="B17" s="44" t="inlineStr">
        <is>
          <t>Wednesday</t>
        </is>
      </c>
      <c r="C17" s="41" t="n">
        <v>0</v>
      </c>
      <c r="D17" s="41" t="n">
        <v>0</v>
      </c>
      <c r="E17" s="41">
        <f>C17*D17</f>
        <v/>
      </c>
      <c r="F17" s="44" t="inlineStr"/>
    </row>
    <row r="18" ht="22" customHeight="1">
      <c r="A18" s="39" t="n">
        <v>46037</v>
      </c>
      <c r="B18" s="40" t="inlineStr">
        <is>
          <t>Thursday</t>
        </is>
      </c>
      <c r="C18" s="41" t="n">
        <v>0</v>
      </c>
      <c r="D18" s="41" t="n">
        <v>0</v>
      </c>
      <c r="E18" s="41">
        <f>C18*D18</f>
        <v/>
      </c>
      <c r="F18" s="40" t="inlineStr"/>
    </row>
    <row r="19" ht="22" customHeight="1">
      <c r="A19" s="43" t="n">
        <v>46038</v>
      </c>
      <c r="B19" s="44" t="inlineStr">
        <is>
          <t>Friday</t>
        </is>
      </c>
      <c r="C19" s="41" t="n">
        <v>0</v>
      </c>
      <c r="D19" s="41" t="n">
        <v>0</v>
      </c>
      <c r="E19" s="41">
        <f>C19*D19</f>
        <v/>
      </c>
      <c r="F19" s="44" t="inlineStr"/>
    </row>
    <row r="20" ht="22" customHeight="1">
      <c r="A20" s="39" t="n">
        <v>46039</v>
      </c>
      <c r="B20" s="40" t="inlineStr">
        <is>
          <t>Saturday</t>
        </is>
      </c>
      <c r="C20" s="41" t="n">
        <v>0</v>
      </c>
      <c r="D20" s="41" t="n">
        <v>0</v>
      </c>
      <c r="E20" s="41">
        <f>C20*D20</f>
        <v/>
      </c>
      <c r="F20" s="40" t="inlineStr"/>
    </row>
    <row r="21" ht="22" customHeight="1">
      <c r="A21" s="43" t="n">
        <v>46040</v>
      </c>
      <c r="B21" s="44" t="inlineStr">
        <is>
          <t>Sunday</t>
        </is>
      </c>
      <c r="C21" s="41" t="n">
        <v>0</v>
      </c>
      <c r="D21" s="41" t="n">
        <v>0</v>
      </c>
      <c r="E21" s="41">
        <f>C21*D21</f>
        <v/>
      </c>
      <c r="F21" s="44" t="inlineStr"/>
    </row>
    <row r="22" ht="22" customHeight="1">
      <c r="A22" s="39" t="n">
        <v>46041</v>
      </c>
      <c r="B22" s="40" t="inlineStr">
        <is>
          <t>Monday</t>
        </is>
      </c>
      <c r="C22" s="41" t="n">
        <v>0</v>
      </c>
      <c r="D22" s="41" t="n">
        <v>0</v>
      </c>
      <c r="E22" s="41">
        <f>C22*D22</f>
        <v/>
      </c>
      <c r="F22" s="40" t="inlineStr"/>
    </row>
    <row r="23" ht="22" customHeight="1">
      <c r="A23" s="43" t="n">
        <v>46042</v>
      </c>
      <c r="B23" s="44" t="inlineStr">
        <is>
          <t>Tuesday</t>
        </is>
      </c>
      <c r="C23" s="41" t="n">
        <v>0</v>
      </c>
      <c r="D23" s="41" t="n">
        <v>0</v>
      </c>
      <c r="E23" s="41">
        <f>C23*D23</f>
        <v/>
      </c>
      <c r="F23" s="44" t="inlineStr"/>
    </row>
    <row r="24" ht="22" customHeight="1">
      <c r="A24" s="39" t="n">
        <v>46043</v>
      </c>
      <c r="B24" s="40" t="inlineStr">
        <is>
          <t>Wednesday</t>
        </is>
      </c>
      <c r="C24" s="41" t="n">
        <v>0</v>
      </c>
      <c r="D24" s="41" t="n">
        <v>0</v>
      </c>
      <c r="E24" s="41">
        <f>C24*D24</f>
        <v/>
      </c>
      <c r="F24" s="40" t="inlineStr"/>
    </row>
    <row r="25" ht="22" customHeight="1">
      <c r="A25" s="43" t="n">
        <v>46044</v>
      </c>
      <c r="B25" s="44" t="inlineStr">
        <is>
          <t>Thursday</t>
        </is>
      </c>
      <c r="C25" s="41" t="n">
        <v>0</v>
      </c>
      <c r="D25" s="41" t="n">
        <v>0</v>
      </c>
      <c r="E25" s="41">
        <f>C25*D25</f>
        <v/>
      </c>
      <c r="F25" s="44" t="inlineStr"/>
    </row>
    <row r="26" ht="22" customHeight="1">
      <c r="A26" s="39" t="n">
        <v>46045</v>
      </c>
      <c r="B26" s="40" t="inlineStr">
        <is>
          <t>Friday</t>
        </is>
      </c>
      <c r="C26" s="41" t="n">
        <v>0</v>
      </c>
      <c r="D26" s="41" t="n">
        <v>0</v>
      </c>
      <c r="E26" s="41">
        <f>C26*D26</f>
        <v/>
      </c>
      <c r="F26" s="40" t="inlineStr"/>
    </row>
    <row r="27" ht="22" customHeight="1">
      <c r="A27" s="43" t="n">
        <v>46046</v>
      </c>
      <c r="B27" s="44" t="inlineStr">
        <is>
          <t>Saturday</t>
        </is>
      </c>
      <c r="C27" s="41" t="n">
        <v>0</v>
      </c>
      <c r="D27" s="41" t="n">
        <v>0</v>
      </c>
      <c r="E27" s="41">
        <f>C27*D27</f>
        <v/>
      </c>
      <c r="F27" s="44" t="inlineStr"/>
    </row>
    <row r="28" ht="22" customHeight="1">
      <c r="A28" s="39" t="n">
        <v>46047</v>
      </c>
      <c r="B28" s="40" t="inlineStr">
        <is>
          <t>Sunday</t>
        </is>
      </c>
      <c r="C28" s="41" t="n">
        <v>0</v>
      </c>
      <c r="D28" s="41" t="n">
        <v>0</v>
      </c>
      <c r="E28" s="41">
        <f>C28*D28</f>
        <v/>
      </c>
      <c r="F28" s="40" t="inlineStr"/>
    </row>
    <row r="29" ht="22" customHeight="1">
      <c r="A29" s="43" t="n">
        <v>46048</v>
      </c>
      <c r="B29" s="44" t="inlineStr">
        <is>
          <t>Monday</t>
        </is>
      </c>
      <c r="C29" s="41" t="n">
        <v>0</v>
      </c>
      <c r="D29" s="41" t="n">
        <v>0</v>
      </c>
      <c r="E29" s="41">
        <f>C29*D29</f>
        <v/>
      </c>
      <c r="F29" s="44" t="inlineStr"/>
    </row>
    <row r="30" ht="22" customHeight="1">
      <c r="A30" s="39" t="n">
        <v>46049</v>
      </c>
      <c r="B30" s="40" t="inlineStr">
        <is>
          <t>Tuesday</t>
        </is>
      </c>
      <c r="C30" s="41" t="n">
        <v>0</v>
      </c>
      <c r="D30" s="41" t="n">
        <v>0</v>
      </c>
      <c r="E30" s="41">
        <f>C30*D30</f>
        <v/>
      </c>
      <c r="F30" s="40" t="inlineStr"/>
    </row>
    <row r="31" ht="22" customHeight="1">
      <c r="A31" s="43" t="n">
        <v>46050</v>
      </c>
      <c r="B31" s="44" t="inlineStr">
        <is>
          <t>Wednesday</t>
        </is>
      </c>
      <c r="C31" s="41" t="n">
        <v>0</v>
      </c>
      <c r="D31" s="41" t="n">
        <v>0</v>
      </c>
      <c r="E31" s="41">
        <f>C31*D31</f>
        <v/>
      </c>
      <c r="F31" s="44" t="inlineStr"/>
    </row>
    <row r="32" ht="22" customHeight="1">
      <c r="A32" s="39" t="n">
        <v>46051</v>
      </c>
      <c r="B32" s="40" t="inlineStr">
        <is>
          <t>Thursday</t>
        </is>
      </c>
      <c r="C32" s="41" t="n">
        <v>0</v>
      </c>
      <c r="D32" s="41" t="n">
        <v>0</v>
      </c>
      <c r="E32" s="41">
        <f>C32*D32</f>
        <v/>
      </c>
      <c r="F32" s="40" t="inlineStr"/>
    </row>
    <row r="33" ht="22" customHeight="1">
      <c r="A33" s="43" t="n">
        <v>46052</v>
      </c>
      <c r="B33" s="44" t="inlineStr">
        <is>
          <t>Friday</t>
        </is>
      </c>
      <c r="C33" s="41" t="n">
        <v>0</v>
      </c>
      <c r="D33" s="41" t="n">
        <v>0</v>
      </c>
      <c r="E33" s="41">
        <f>C33*D33</f>
        <v/>
      </c>
      <c r="F33" s="44" t="inlineStr"/>
    </row>
    <row r="34" ht="22" customHeight="1">
      <c r="A34" s="39" t="n">
        <v>46053</v>
      </c>
      <c r="B34" s="40" t="inlineStr">
        <is>
          <t>Saturday</t>
        </is>
      </c>
      <c r="C34" s="41" t="n">
        <v>0</v>
      </c>
      <c r="D34" s="41" t="n">
        <v>0</v>
      </c>
      <c r="E34" s="41">
        <f>C34*D34</f>
        <v/>
      </c>
      <c r="F34" s="40" t="inlineStr"/>
    </row>
    <row r="35" ht="22" customHeight="1">
      <c r="A35" s="43" t="n">
        <v>46054</v>
      </c>
      <c r="B35" s="44" t="inlineStr">
        <is>
          <t>Sunday</t>
        </is>
      </c>
      <c r="C35" s="41" t="n">
        <v>0</v>
      </c>
      <c r="D35" s="41" t="n">
        <v>0</v>
      </c>
      <c r="E35" s="41">
        <f>C35*D35</f>
        <v/>
      </c>
      <c r="F35" s="44" t="inlineStr"/>
    </row>
    <row r="36" ht="22" customHeight="1">
      <c r="A36" s="39" t="n">
        <v>46055</v>
      </c>
      <c r="B36" s="40" t="inlineStr">
        <is>
          <t>Monday</t>
        </is>
      </c>
      <c r="C36" s="41" t="n">
        <v>0</v>
      </c>
      <c r="D36" s="41" t="n">
        <v>0</v>
      </c>
      <c r="E36" s="41">
        <f>C36*D36</f>
        <v/>
      </c>
      <c r="F36" s="40" t="inlineStr"/>
    </row>
    <row r="37" ht="22" customHeight="1">
      <c r="A37" s="43" t="n">
        <v>46056</v>
      </c>
      <c r="B37" s="44" t="inlineStr">
        <is>
          <t>Tuesday</t>
        </is>
      </c>
      <c r="C37" s="41" t="n">
        <v>0</v>
      </c>
      <c r="D37" s="41" t="n">
        <v>0</v>
      </c>
      <c r="E37" s="41">
        <f>C37*D37</f>
        <v/>
      </c>
      <c r="F37" s="44" t="inlineStr"/>
    </row>
    <row r="38" ht="22" customHeight="1">
      <c r="A38" s="39" t="n">
        <v>46057</v>
      </c>
      <c r="B38" s="40" t="inlineStr">
        <is>
          <t>Wednesday</t>
        </is>
      </c>
      <c r="C38" s="41" t="n">
        <v>0</v>
      </c>
      <c r="D38" s="41" t="n">
        <v>0</v>
      </c>
      <c r="E38" s="41">
        <f>C38*D38</f>
        <v/>
      </c>
      <c r="F38" s="40" t="inlineStr"/>
    </row>
    <row r="39" ht="22" customHeight="1">
      <c r="A39" s="43" t="n">
        <v>46058</v>
      </c>
      <c r="B39" s="44" t="inlineStr">
        <is>
          <t>Thursday</t>
        </is>
      </c>
      <c r="C39" s="41" t="n">
        <v>0</v>
      </c>
      <c r="D39" s="41" t="n">
        <v>0</v>
      </c>
      <c r="E39" s="41">
        <f>C39*D39</f>
        <v/>
      </c>
      <c r="F39" s="44" t="inlineStr"/>
    </row>
    <row r="40" ht="22" customHeight="1">
      <c r="A40" s="39" t="n">
        <v>46059</v>
      </c>
      <c r="B40" s="40" t="inlineStr">
        <is>
          <t>Friday</t>
        </is>
      </c>
      <c r="C40" s="41" t="n">
        <v>0</v>
      </c>
      <c r="D40" s="41" t="n">
        <v>0</v>
      </c>
      <c r="E40" s="41">
        <f>C40*D40</f>
        <v/>
      </c>
      <c r="F40" s="40" t="inlineStr"/>
    </row>
    <row r="41" ht="22" customHeight="1">
      <c r="A41" s="43" t="n">
        <v>46060</v>
      </c>
      <c r="B41" s="44" t="inlineStr">
        <is>
          <t>Saturday</t>
        </is>
      </c>
      <c r="C41" s="41" t="n">
        <v>0</v>
      </c>
      <c r="D41" s="41" t="n">
        <v>0</v>
      </c>
      <c r="E41" s="41">
        <f>C41*D41</f>
        <v/>
      </c>
      <c r="F41" s="44" t="inlineStr"/>
    </row>
    <row r="42" ht="22" customHeight="1">
      <c r="A42" s="39" t="n">
        <v>46061</v>
      </c>
      <c r="B42" s="40" t="inlineStr">
        <is>
          <t>Sunday</t>
        </is>
      </c>
      <c r="C42" s="41" t="n">
        <v>0</v>
      </c>
      <c r="D42" s="41" t="n">
        <v>0</v>
      </c>
      <c r="E42" s="41">
        <f>C42*D42</f>
        <v/>
      </c>
      <c r="F42" s="40" t="inlineStr"/>
    </row>
    <row r="43" ht="22" customHeight="1">
      <c r="A43" s="43" t="n">
        <v>46062</v>
      </c>
      <c r="B43" s="44" t="inlineStr">
        <is>
          <t>Monday</t>
        </is>
      </c>
      <c r="C43" s="41" t="n">
        <v>0</v>
      </c>
      <c r="D43" s="41" t="n">
        <v>0</v>
      </c>
      <c r="E43" s="41">
        <f>C43*D43</f>
        <v/>
      </c>
      <c r="F43" s="44" t="inlineStr"/>
    </row>
    <row r="44" ht="22" customHeight="1">
      <c r="A44" s="39" t="n">
        <v>46063</v>
      </c>
      <c r="B44" s="40" t="inlineStr">
        <is>
          <t>Tuesday</t>
        </is>
      </c>
      <c r="C44" s="41" t="n">
        <v>0</v>
      </c>
      <c r="D44" s="41" t="n">
        <v>0</v>
      </c>
      <c r="E44" s="41">
        <f>C44*D44</f>
        <v/>
      </c>
      <c r="F44" s="40" t="inlineStr"/>
    </row>
    <row r="45" ht="22" customHeight="1">
      <c r="A45" s="43" t="n">
        <v>46064</v>
      </c>
      <c r="B45" s="44" t="inlineStr">
        <is>
          <t>Wednesday</t>
        </is>
      </c>
      <c r="C45" s="41" t="n">
        <v>0</v>
      </c>
      <c r="D45" s="41" t="n">
        <v>0</v>
      </c>
      <c r="E45" s="41">
        <f>C45*D45</f>
        <v/>
      </c>
      <c r="F45" s="44" t="inlineStr"/>
    </row>
    <row r="46" ht="22" customHeight="1">
      <c r="A46" s="39" t="n">
        <v>46065</v>
      </c>
      <c r="B46" s="40" t="inlineStr">
        <is>
          <t>Thursday</t>
        </is>
      </c>
      <c r="C46" s="41" t="n">
        <v>0</v>
      </c>
      <c r="D46" s="41" t="n">
        <v>0</v>
      </c>
      <c r="E46" s="41">
        <f>C46*D46</f>
        <v/>
      </c>
      <c r="F46" s="40" t="inlineStr"/>
    </row>
    <row r="47" ht="22" customHeight="1">
      <c r="A47" s="43" t="n">
        <v>46066</v>
      </c>
      <c r="B47" s="44" t="inlineStr">
        <is>
          <t>Friday</t>
        </is>
      </c>
      <c r="C47" s="41" t="n">
        <v>0</v>
      </c>
      <c r="D47" s="41" t="n">
        <v>0</v>
      </c>
      <c r="E47" s="41">
        <f>C47*D47</f>
        <v/>
      </c>
      <c r="F47" s="44" t="inlineStr"/>
    </row>
    <row r="48" ht="22" customHeight="1">
      <c r="A48" s="39" t="n">
        <v>46067</v>
      </c>
      <c r="B48" s="40" t="inlineStr">
        <is>
          <t>Saturday</t>
        </is>
      </c>
      <c r="C48" s="41" t="n">
        <v>0</v>
      </c>
      <c r="D48" s="41" t="n">
        <v>0</v>
      </c>
      <c r="E48" s="41">
        <f>C48*D48</f>
        <v/>
      </c>
      <c r="F48" s="40" t="inlineStr"/>
    </row>
    <row r="49" ht="22" customHeight="1">
      <c r="A49" s="43" t="n">
        <v>46068</v>
      </c>
      <c r="B49" s="44" t="inlineStr">
        <is>
          <t>Sunday</t>
        </is>
      </c>
      <c r="C49" s="41" t="n">
        <v>0</v>
      </c>
      <c r="D49" s="41" t="n">
        <v>0</v>
      </c>
      <c r="E49" s="41">
        <f>C49*D49</f>
        <v/>
      </c>
      <c r="F49" s="44" t="inlineStr"/>
    </row>
    <row r="50" ht="22" customHeight="1">
      <c r="A50" s="39" t="n">
        <v>46069</v>
      </c>
      <c r="B50" s="40" t="inlineStr">
        <is>
          <t>Monday</t>
        </is>
      </c>
      <c r="C50" s="41" t="n">
        <v>0</v>
      </c>
      <c r="D50" s="41" t="n">
        <v>0</v>
      </c>
      <c r="E50" s="41">
        <f>C50*D50</f>
        <v/>
      </c>
      <c r="F50" s="40" t="inlineStr"/>
    </row>
    <row r="51" ht="22" customHeight="1">
      <c r="A51" s="43" t="n">
        <v>46070</v>
      </c>
      <c r="B51" s="44" t="inlineStr">
        <is>
          <t>Tuesday</t>
        </is>
      </c>
      <c r="C51" s="41" t="n">
        <v>0</v>
      </c>
      <c r="D51" s="41" t="n">
        <v>0</v>
      </c>
      <c r="E51" s="41">
        <f>C51*D51</f>
        <v/>
      </c>
      <c r="F51" s="44" t="inlineStr"/>
    </row>
    <row r="52" ht="22" customHeight="1">
      <c r="A52" s="39" t="n">
        <v>46071</v>
      </c>
      <c r="B52" s="40" t="inlineStr">
        <is>
          <t>Wednesday</t>
        </is>
      </c>
      <c r="C52" s="41" t="n">
        <v>0</v>
      </c>
      <c r="D52" s="41" t="n">
        <v>0</v>
      </c>
      <c r="E52" s="41">
        <f>C52*D52</f>
        <v/>
      </c>
      <c r="F52" s="40" t="inlineStr"/>
    </row>
    <row r="53" ht="22" customHeight="1">
      <c r="A53" s="43" t="n">
        <v>46072</v>
      </c>
      <c r="B53" s="44" t="inlineStr">
        <is>
          <t>Thursday</t>
        </is>
      </c>
      <c r="C53" s="41" t="n">
        <v>0</v>
      </c>
      <c r="D53" s="41" t="n">
        <v>0</v>
      </c>
      <c r="E53" s="41">
        <f>C53*D53</f>
        <v/>
      </c>
      <c r="F53" s="44" t="inlineStr"/>
    </row>
    <row r="54" ht="22" customHeight="1">
      <c r="A54" s="39" t="n">
        <v>46073</v>
      </c>
      <c r="B54" s="40" t="inlineStr">
        <is>
          <t>Friday</t>
        </is>
      </c>
      <c r="C54" s="41" t="n">
        <v>0</v>
      </c>
      <c r="D54" s="41" t="n">
        <v>0</v>
      </c>
      <c r="E54" s="41">
        <f>C54*D54</f>
        <v/>
      </c>
      <c r="F54" s="40" t="inlineStr"/>
    </row>
    <row r="55" ht="22" customHeight="1">
      <c r="A55" s="43" t="n">
        <v>46074</v>
      </c>
      <c r="B55" s="44" t="inlineStr">
        <is>
          <t>Saturday</t>
        </is>
      </c>
      <c r="C55" s="41" t="n">
        <v>0</v>
      </c>
      <c r="D55" s="41" t="n">
        <v>0</v>
      </c>
      <c r="E55" s="41">
        <f>C55*D55</f>
        <v/>
      </c>
      <c r="F55" s="44" t="inlineStr"/>
    </row>
    <row r="56" ht="22" customHeight="1">
      <c r="A56" s="39" t="n">
        <v>46075</v>
      </c>
      <c r="B56" s="40" t="inlineStr">
        <is>
          <t>Sunday</t>
        </is>
      </c>
      <c r="C56" s="41" t="n">
        <v>0</v>
      </c>
      <c r="D56" s="41" t="n">
        <v>0</v>
      </c>
      <c r="E56" s="41">
        <f>C56*D56</f>
        <v/>
      </c>
      <c r="F56" s="40" t="inlineStr"/>
    </row>
    <row r="57" ht="22" customHeight="1">
      <c r="A57" s="43" t="n">
        <v>46076</v>
      </c>
      <c r="B57" s="44" t="inlineStr">
        <is>
          <t>Monday</t>
        </is>
      </c>
      <c r="C57" s="41" t="n">
        <v>0</v>
      </c>
      <c r="D57" s="41" t="n">
        <v>0</v>
      </c>
      <c r="E57" s="41">
        <f>C57*D57</f>
        <v/>
      </c>
      <c r="F57" s="44" t="inlineStr"/>
    </row>
    <row r="58" ht="22" customHeight="1">
      <c r="A58" s="39" t="n">
        <v>46077</v>
      </c>
      <c r="B58" s="40" t="inlineStr">
        <is>
          <t>Tuesday</t>
        </is>
      </c>
      <c r="C58" s="41" t="n">
        <v>0</v>
      </c>
      <c r="D58" s="41" t="n">
        <v>0</v>
      </c>
      <c r="E58" s="41">
        <f>C58*D58</f>
        <v/>
      </c>
      <c r="F58" s="40" t="inlineStr"/>
    </row>
    <row r="59" ht="22" customHeight="1">
      <c r="A59" s="43" t="n">
        <v>46078</v>
      </c>
      <c r="B59" s="44" t="inlineStr">
        <is>
          <t>Wednesday</t>
        </is>
      </c>
      <c r="C59" s="41" t="n">
        <v>0</v>
      </c>
      <c r="D59" s="41" t="n">
        <v>0</v>
      </c>
      <c r="E59" s="41">
        <f>C59*D59</f>
        <v/>
      </c>
      <c r="F59" s="44" t="inlineStr"/>
    </row>
    <row r="60" ht="22" customHeight="1">
      <c r="A60" s="39" t="n">
        <v>46079</v>
      </c>
      <c r="B60" s="40" t="inlineStr">
        <is>
          <t>Thursday</t>
        </is>
      </c>
      <c r="C60" s="41" t="n">
        <v>0</v>
      </c>
      <c r="D60" s="41" t="n">
        <v>0</v>
      </c>
      <c r="E60" s="41">
        <f>C60*D60</f>
        <v/>
      </c>
      <c r="F60" s="40" t="inlineStr"/>
    </row>
    <row r="61" ht="22" customHeight="1">
      <c r="A61" s="43" t="n">
        <v>46080</v>
      </c>
      <c r="B61" s="44" t="inlineStr">
        <is>
          <t>Friday</t>
        </is>
      </c>
      <c r="C61" s="41" t="n">
        <v>0</v>
      </c>
      <c r="D61" s="41" t="n">
        <v>0</v>
      </c>
      <c r="E61" s="41">
        <f>C61*D61</f>
        <v/>
      </c>
      <c r="F61" s="44" t="inlineStr"/>
    </row>
    <row r="62" ht="22" customHeight="1">
      <c r="A62" s="39" t="n">
        <v>46081</v>
      </c>
      <c r="B62" s="40" t="inlineStr">
        <is>
          <t>Saturday</t>
        </is>
      </c>
      <c r="C62" s="41" t="n">
        <v>0</v>
      </c>
      <c r="D62" s="41" t="n">
        <v>0</v>
      </c>
      <c r="E62" s="41">
        <f>C62*D62</f>
        <v/>
      </c>
      <c r="F62" s="40" t="inlineStr"/>
    </row>
    <row r="63" ht="22" customHeight="1">
      <c r="A63" s="43" t="n">
        <v>46082</v>
      </c>
      <c r="B63" s="44" t="inlineStr">
        <is>
          <t>Sunday</t>
        </is>
      </c>
      <c r="C63" s="41" t="n">
        <v>0</v>
      </c>
      <c r="D63" s="41" t="n">
        <v>0</v>
      </c>
      <c r="E63" s="41">
        <f>C63*D63</f>
        <v/>
      </c>
      <c r="F63" s="44" t="inlineStr"/>
    </row>
    <row r="64" ht="22" customHeight="1">
      <c r="A64" s="39" t="n">
        <v>46083</v>
      </c>
      <c r="B64" s="40" t="inlineStr">
        <is>
          <t>Monday</t>
        </is>
      </c>
      <c r="C64" s="41" t="n">
        <v>0</v>
      </c>
      <c r="D64" s="41" t="n">
        <v>0</v>
      </c>
      <c r="E64" s="41">
        <f>C64*D64</f>
        <v/>
      </c>
      <c r="F64" s="40" t="inlineStr"/>
    </row>
    <row r="65" ht="22" customHeight="1">
      <c r="A65" s="43" t="n">
        <v>46084</v>
      </c>
      <c r="B65" s="44" t="inlineStr">
        <is>
          <t>Tuesday</t>
        </is>
      </c>
      <c r="C65" s="41" t="n">
        <v>0</v>
      </c>
      <c r="D65" s="41" t="n">
        <v>0</v>
      </c>
      <c r="E65" s="41">
        <f>C65*D65</f>
        <v/>
      </c>
      <c r="F65" s="44" t="inlineStr"/>
    </row>
    <row r="66" ht="22" customHeight="1">
      <c r="A66" s="39" t="n">
        <v>46085</v>
      </c>
      <c r="B66" s="40" t="inlineStr">
        <is>
          <t>Wednesday</t>
        </is>
      </c>
      <c r="C66" s="41" t="n">
        <v>0</v>
      </c>
      <c r="D66" s="41" t="n">
        <v>0</v>
      </c>
      <c r="E66" s="41">
        <f>C66*D66</f>
        <v/>
      </c>
      <c r="F66" s="40" t="inlineStr"/>
    </row>
    <row r="67" ht="22" customHeight="1">
      <c r="A67" s="43" t="n">
        <v>46086</v>
      </c>
      <c r="B67" s="44" t="inlineStr">
        <is>
          <t>Thursday</t>
        </is>
      </c>
      <c r="C67" s="41" t="n">
        <v>0</v>
      </c>
      <c r="D67" s="41" t="n">
        <v>0</v>
      </c>
      <c r="E67" s="41">
        <f>C67*D67</f>
        <v/>
      </c>
      <c r="F67" s="44" t="inlineStr"/>
    </row>
    <row r="68" ht="22" customHeight="1">
      <c r="A68" s="39" t="n">
        <v>46087</v>
      </c>
      <c r="B68" s="40" t="inlineStr">
        <is>
          <t>Friday</t>
        </is>
      </c>
      <c r="C68" s="41" t="n">
        <v>0</v>
      </c>
      <c r="D68" s="41" t="n">
        <v>0</v>
      </c>
      <c r="E68" s="41">
        <f>C68*D68</f>
        <v/>
      </c>
      <c r="F68" s="40" t="inlineStr"/>
    </row>
    <row r="69" ht="22" customHeight="1">
      <c r="A69" s="43" t="n">
        <v>46088</v>
      </c>
      <c r="B69" s="44" t="inlineStr">
        <is>
          <t>Saturday</t>
        </is>
      </c>
      <c r="C69" s="41" t="n">
        <v>0</v>
      </c>
      <c r="D69" s="41" t="n">
        <v>0</v>
      </c>
      <c r="E69" s="41">
        <f>C69*D69</f>
        <v/>
      </c>
      <c r="F69" s="44" t="inlineStr"/>
    </row>
    <row r="70" ht="22" customHeight="1">
      <c r="A70" s="39" t="n">
        <v>46089</v>
      </c>
      <c r="B70" s="40" t="inlineStr">
        <is>
          <t>Sunday</t>
        </is>
      </c>
      <c r="C70" s="41" t="n">
        <v>0</v>
      </c>
      <c r="D70" s="41" t="n">
        <v>0</v>
      </c>
      <c r="E70" s="41">
        <f>C70*D70</f>
        <v/>
      </c>
      <c r="F70" s="40" t="inlineStr"/>
    </row>
    <row r="71" ht="22" customHeight="1">
      <c r="A71" s="43" t="n">
        <v>46090</v>
      </c>
      <c r="B71" s="44" t="inlineStr">
        <is>
          <t>Monday</t>
        </is>
      </c>
      <c r="C71" s="41" t="n">
        <v>0</v>
      </c>
      <c r="D71" s="41" t="n">
        <v>0</v>
      </c>
      <c r="E71" s="41">
        <f>C71*D71</f>
        <v/>
      </c>
      <c r="F71" s="44" t="inlineStr"/>
    </row>
    <row r="72" ht="22" customHeight="1">
      <c r="A72" s="39" t="n">
        <v>46091</v>
      </c>
      <c r="B72" s="40" t="inlineStr">
        <is>
          <t>Tuesday</t>
        </is>
      </c>
      <c r="C72" s="41" t="n">
        <v>0</v>
      </c>
      <c r="D72" s="41" t="n">
        <v>0</v>
      </c>
      <c r="E72" s="41">
        <f>C72*D72</f>
        <v/>
      </c>
      <c r="F72" s="40" t="inlineStr"/>
    </row>
    <row r="73" ht="22" customHeight="1">
      <c r="A73" s="43" t="n">
        <v>46092</v>
      </c>
      <c r="B73" s="44" t="inlineStr">
        <is>
          <t>Wednesday</t>
        </is>
      </c>
      <c r="C73" s="41" t="n">
        <v>0</v>
      </c>
      <c r="D73" s="41" t="n">
        <v>0</v>
      </c>
      <c r="E73" s="41">
        <f>C73*D73</f>
        <v/>
      </c>
      <c r="F73" s="44" t="inlineStr"/>
    </row>
    <row r="74" ht="22" customHeight="1">
      <c r="A74" s="39" t="n">
        <v>46093</v>
      </c>
      <c r="B74" s="40" t="inlineStr">
        <is>
          <t>Thursday</t>
        </is>
      </c>
      <c r="C74" s="41" t="n">
        <v>0</v>
      </c>
      <c r="D74" s="41" t="n">
        <v>0</v>
      </c>
      <c r="E74" s="41">
        <f>C74*D74</f>
        <v/>
      </c>
      <c r="F74" s="40" t="inlineStr"/>
    </row>
    <row r="75" ht="22" customHeight="1">
      <c r="A75" s="43" t="n">
        <v>46094</v>
      </c>
      <c r="B75" s="44" t="inlineStr">
        <is>
          <t>Friday</t>
        </is>
      </c>
      <c r="C75" s="41" t="n">
        <v>0</v>
      </c>
      <c r="D75" s="41" t="n">
        <v>0</v>
      </c>
      <c r="E75" s="41">
        <f>C75*D75</f>
        <v/>
      </c>
      <c r="F75" s="44" t="inlineStr"/>
    </row>
    <row r="76" ht="22" customHeight="1">
      <c r="A76" s="39" t="n">
        <v>46095</v>
      </c>
      <c r="B76" s="40" t="inlineStr">
        <is>
          <t>Saturday</t>
        </is>
      </c>
      <c r="C76" s="41" t="n">
        <v>0</v>
      </c>
      <c r="D76" s="41" t="n">
        <v>0</v>
      </c>
      <c r="E76" s="41">
        <f>C76*D76</f>
        <v/>
      </c>
      <c r="F76" s="40" t="inlineStr"/>
    </row>
    <row r="77" ht="22" customHeight="1">
      <c r="A77" s="43" t="n">
        <v>46096</v>
      </c>
      <c r="B77" s="44" t="inlineStr">
        <is>
          <t>Sunday</t>
        </is>
      </c>
      <c r="C77" s="41" t="n">
        <v>0</v>
      </c>
      <c r="D77" s="41" t="n">
        <v>0</v>
      </c>
      <c r="E77" s="41">
        <f>C77*D77</f>
        <v/>
      </c>
      <c r="F77" s="44" t="inlineStr"/>
    </row>
    <row r="78" ht="22" customHeight="1">
      <c r="A78" s="39" t="n">
        <v>46097</v>
      </c>
      <c r="B78" s="40" t="inlineStr">
        <is>
          <t>Monday</t>
        </is>
      </c>
      <c r="C78" s="41" t="n">
        <v>0</v>
      </c>
      <c r="D78" s="41" t="n">
        <v>0</v>
      </c>
      <c r="E78" s="41">
        <f>C78*D78</f>
        <v/>
      </c>
      <c r="F78" s="40" t="inlineStr"/>
    </row>
    <row r="79" ht="22" customHeight="1">
      <c r="A79" s="43" t="n">
        <v>46098</v>
      </c>
      <c r="B79" s="44" t="inlineStr">
        <is>
          <t>Tuesday</t>
        </is>
      </c>
      <c r="C79" s="41" t="n">
        <v>0</v>
      </c>
      <c r="D79" s="41" t="n">
        <v>0</v>
      </c>
      <c r="E79" s="41">
        <f>C79*D79</f>
        <v/>
      </c>
      <c r="F79" s="44" t="inlineStr"/>
    </row>
    <row r="80" ht="22" customHeight="1">
      <c r="A80" s="39" t="n">
        <v>46099</v>
      </c>
      <c r="B80" s="40" t="inlineStr">
        <is>
          <t>Wednesday</t>
        </is>
      </c>
      <c r="C80" s="41" t="n">
        <v>0</v>
      </c>
      <c r="D80" s="41" t="n">
        <v>0</v>
      </c>
      <c r="E80" s="41">
        <f>C80*D80</f>
        <v/>
      </c>
      <c r="F80" s="40" t="inlineStr"/>
    </row>
    <row r="81" ht="22" customHeight="1">
      <c r="A81" s="43" t="n">
        <v>46100</v>
      </c>
      <c r="B81" s="44" t="inlineStr">
        <is>
          <t>Thursday</t>
        </is>
      </c>
      <c r="C81" s="41" t="n">
        <v>0</v>
      </c>
      <c r="D81" s="41" t="n">
        <v>0</v>
      </c>
      <c r="E81" s="41">
        <f>C81*D81</f>
        <v/>
      </c>
      <c r="F81" s="44" t="inlineStr"/>
    </row>
    <row r="82" ht="22" customHeight="1">
      <c r="A82" s="39" t="n">
        <v>46101</v>
      </c>
      <c r="B82" s="40" t="inlineStr">
        <is>
          <t>Friday</t>
        </is>
      </c>
      <c r="C82" s="41" t="n">
        <v>0</v>
      </c>
      <c r="D82" s="41" t="n">
        <v>0</v>
      </c>
      <c r="E82" s="41">
        <f>C82*D82</f>
        <v/>
      </c>
      <c r="F82" s="40" t="inlineStr"/>
    </row>
    <row r="83" ht="22" customHeight="1">
      <c r="A83" s="43" t="n">
        <v>46102</v>
      </c>
      <c r="B83" s="44" t="inlineStr">
        <is>
          <t>Saturday</t>
        </is>
      </c>
      <c r="C83" s="41" t="n">
        <v>0</v>
      </c>
      <c r="D83" s="41" t="n">
        <v>0</v>
      </c>
      <c r="E83" s="41">
        <f>C83*D83</f>
        <v/>
      </c>
      <c r="F83" s="44" t="inlineStr"/>
    </row>
    <row r="84" ht="22" customHeight="1">
      <c r="A84" s="39" t="n">
        <v>46103</v>
      </c>
      <c r="B84" s="40" t="inlineStr">
        <is>
          <t>Sunday</t>
        </is>
      </c>
      <c r="C84" s="41" t="n">
        <v>0</v>
      </c>
      <c r="D84" s="41" t="n">
        <v>0</v>
      </c>
      <c r="E84" s="41">
        <f>C84*D84</f>
        <v/>
      </c>
      <c r="F84" s="40" t="inlineStr"/>
    </row>
    <row r="85" ht="22" customHeight="1">
      <c r="A85" s="43" t="n">
        <v>46104</v>
      </c>
      <c r="B85" s="44" t="inlineStr">
        <is>
          <t>Monday</t>
        </is>
      </c>
      <c r="C85" s="41" t="n">
        <v>0</v>
      </c>
      <c r="D85" s="41" t="n">
        <v>0</v>
      </c>
      <c r="E85" s="41">
        <f>C85*D85</f>
        <v/>
      </c>
      <c r="F85" s="44" t="inlineStr"/>
    </row>
    <row r="86" ht="22" customHeight="1">
      <c r="A86" s="39" t="n">
        <v>46105</v>
      </c>
      <c r="B86" s="40" t="inlineStr">
        <is>
          <t>Tuesday</t>
        </is>
      </c>
      <c r="C86" s="41" t="n">
        <v>0</v>
      </c>
      <c r="D86" s="41" t="n">
        <v>0</v>
      </c>
      <c r="E86" s="41">
        <f>C86*D86</f>
        <v/>
      </c>
      <c r="F86" s="40" t="inlineStr"/>
    </row>
    <row r="87" ht="22" customHeight="1">
      <c r="A87" s="43" t="n">
        <v>46106</v>
      </c>
      <c r="B87" s="44" t="inlineStr">
        <is>
          <t>Wednesday</t>
        </is>
      </c>
      <c r="C87" s="41" t="n">
        <v>0</v>
      </c>
      <c r="D87" s="41" t="n">
        <v>0</v>
      </c>
      <c r="E87" s="41">
        <f>C87*D87</f>
        <v/>
      </c>
      <c r="F87" s="44" t="inlineStr"/>
    </row>
    <row r="88" ht="22" customHeight="1">
      <c r="A88" s="39" t="n">
        <v>46107</v>
      </c>
      <c r="B88" s="40" t="inlineStr">
        <is>
          <t>Thursday</t>
        </is>
      </c>
      <c r="C88" s="41" t="n">
        <v>0</v>
      </c>
      <c r="D88" s="41" t="n">
        <v>0</v>
      </c>
      <c r="E88" s="41">
        <f>C88*D88</f>
        <v/>
      </c>
      <c r="F88" s="40" t="inlineStr"/>
    </row>
    <row r="89" ht="22" customHeight="1">
      <c r="A89" s="43" t="n">
        <v>46108</v>
      </c>
      <c r="B89" s="44" t="inlineStr">
        <is>
          <t>Friday</t>
        </is>
      </c>
      <c r="C89" s="41" t="n">
        <v>0</v>
      </c>
      <c r="D89" s="41" t="n">
        <v>0</v>
      </c>
      <c r="E89" s="41">
        <f>C89*D89</f>
        <v/>
      </c>
      <c r="F89" s="44" t="inlineStr"/>
    </row>
    <row r="90" ht="22" customHeight="1">
      <c r="A90" s="39" t="n">
        <v>46109</v>
      </c>
      <c r="B90" s="40" t="inlineStr">
        <is>
          <t>Saturday</t>
        </is>
      </c>
      <c r="C90" s="41" t="n">
        <v>0</v>
      </c>
      <c r="D90" s="41" t="n">
        <v>0</v>
      </c>
      <c r="E90" s="41">
        <f>C90*D90</f>
        <v/>
      </c>
      <c r="F90" s="40" t="inlineStr"/>
    </row>
    <row r="91" ht="22" customHeight="1">
      <c r="A91" s="43" t="n">
        <v>46110</v>
      </c>
      <c r="B91" s="44" t="inlineStr">
        <is>
          <t>Sunday</t>
        </is>
      </c>
      <c r="C91" s="41" t="n">
        <v>0</v>
      </c>
      <c r="D91" s="41" t="n">
        <v>0</v>
      </c>
      <c r="E91" s="41">
        <f>C91*D91</f>
        <v/>
      </c>
      <c r="F91" s="44" t="inlineStr"/>
    </row>
    <row r="92" ht="22" customHeight="1">
      <c r="A92" s="39" t="n">
        <v>46111</v>
      </c>
      <c r="B92" s="40" t="inlineStr">
        <is>
          <t>Monday</t>
        </is>
      </c>
      <c r="C92" s="41" t="n">
        <v>0</v>
      </c>
      <c r="D92" s="41" t="n">
        <v>0</v>
      </c>
      <c r="E92" s="41">
        <f>C92*D92</f>
        <v/>
      </c>
      <c r="F92" s="40" t="inlineStr"/>
    </row>
    <row r="93" ht="22" customHeight="1">
      <c r="A93" s="43" t="n">
        <v>46112</v>
      </c>
      <c r="B93" s="44" t="inlineStr">
        <is>
          <t>Tuesday</t>
        </is>
      </c>
      <c r="C93" s="41" t="n">
        <v>0</v>
      </c>
      <c r="D93" s="41" t="n">
        <v>0</v>
      </c>
      <c r="E93" s="41">
        <f>C93*D93</f>
        <v/>
      </c>
      <c r="F93" s="44" t="inlineStr"/>
    </row>
    <row r="94" ht="22" customHeight="1">
      <c r="A94" s="39" t="n">
        <v>46113</v>
      </c>
      <c r="B94" s="40" t="inlineStr">
        <is>
          <t>Wednesday</t>
        </is>
      </c>
      <c r="C94" s="41" t="n">
        <v>0</v>
      </c>
      <c r="D94" s="41" t="n">
        <v>0</v>
      </c>
      <c r="E94" s="41">
        <f>C94*D94</f>
        <v/>
      </c>
      <c r="F94" s="40" t="inlineStr"/>
    </row>
    <row r="95" ht="22" customHeight="1">
      <c r="A95" s="43" t="n">
        <v>46114</v>
      </c>
      <c r="B95" s="44" t="inlineStr">
        <is>
          <t>Thursday</t>
        </is>
      </c>
      <c r="C95" s="41" t="n">
        <v>0</v>
      </c>
      <c r="D95" s="41" t="n">
        <v>0</v>
      </c>
      <c r="E95" s="41">
        <f>C95*D95</f>
        <v/>
      </c>
      <c r="F95" s="44" t="inlineStr"/>
    </row>
    <row r="96" ht="22" customHeight="1">
      <c r="A96" s="39" t="n">
        <v>46115</v>
      </c>
      <c r="B96" s="40" t="inlineStr">
        <is>
          <t>Friday</t>
        </is>
      </c>
      <c r="C96" s="41" t="n">
        <v>0</v>
      </c>
      <c r="D96" s="41" t="n">
        <v>0</v>
      </c>
      <c r="E96" s="41">
        <f>C96*D96</f>
        <v/>
      </c>
      <c r="F96" s="40" t="inlineStr"/>
    </row>
    <row r="97" ht="22" customHeight="1">
      <c r="A97" s="43" t="n">
        <v>46116</v>
      </c>
      <c r="B97" s="44" t="inlineStr">
        <is>
          <t>Saturday</t>
        </is>
      </c>
      <c r="C97" s="41" t="n">
        <v>0</v>
      </c>
      <c r="D97" s="41" t="n">
        <v>0</v>
      </c>
      <c r="E97" s="41">
        <f>C97*D97</f>
        <v/>
      </c>
      <c r="F97" s="44" t="inlineStr"/>
    </row>
    <row r="98" ht="22" customHeight="1">
      <c r="A98" s="39" t="n">
        <v>46117</v>
      </c>
      <c r="B98" s="40" t="inlineStr">
        <is>
          <t>Sunday</t>
        </is>
      </c>
      <c r="C98" s="41" t="n">
        <v>0</v>
      </c>
      <c r="D98" s="41" t="n">
        <v>0</v>
      </c>
      <c r="E98" s="41">
        <f>C98*D98</f>
        <v/>
      </c>
      <c r="F98" s="40" t="inlineStr"/>
    </row>
    <row r="99" ht="22" customHeight="1">
      <c r="A99" s="43" t="n">
        <v>46118</v>
      </c>
      <c r="B99" s="44" t="inlineStr">
        <is>
          <t>Monday</t>
        </is>
      </c>
      <c r="C99" s="41" t="n">
        <v>0</v>
      </c>
      <c r="D99" s="41" t="n">
        <v>0</v>
      </c>
      <c r="E99" s="41">
        <f>C99*D99</f>
        <v/>
      </c>
      <c r="F99" s="44" t="inlineStr"/>
    </row>
    <row r="100" ht="22" customHeight="1">
      <c r="A100" s="39" t="n">
        <v>46119</v>
      </c>
      <c r="B100" s="40" t="inlineStr">
        <is>
          <t>Tuesday</t>
        </is>
      </c>
      <c r="C100" s="41" t="n">
        <v>0</v>
      </c>
      <c r="D100" s="41" t="n">
        <v>0</v>
      </c>
      <c r="E100" s="41">
        <f>C100*D100</f>
        <v/>
      </c>
      <c r="F100" s="40" t="inlineStr"/>
    </row>
    <row r="101" ht="22" customHeight="1">
      <c r="A101" s="43" t="n">
        <v>46120</v>
      </c>
      <c r="B101" s="44" t="inlineStr">
        <is>
          <t>Wednesday</t>
        </is>
      </c>
      <c r="C101" s="41" t="n">
        <v>0</v>
      </c>
      <c r="D101" s="41" t="n">
        <v>0</v>
      </c>
      <c r="E101" s="41">
        <f>C101*D101</f>
        <v/>
      </c>
      <c r="F101" s="44" t="inlineStr"/>
    </row>
    <row r="102" ht="22" customHeight="1">
      <c r="A102" s="39" t="n">
        <v>46121</v>
      </c>
      <c r="B102" s="40" t="inlineStr">
        <is>
          <t>Thursday</t>
        </is>
      </c>
      <c r="C102" s="41" t="n">
        <v>0</v>
      </c>
      <c r="D102" s="41" t="n">
        <v>0</v>
      </c>
      <c r="E102" s="41">
        <f>C102*D102</f>
        <v/>
      </c>
      <c r="F102" s="40" t="inlineStr"/>
    </row>
    <row r="103" ht="22" customHeight="1">
      <c r="A103" s="43" t="n">
        <v>46122</v>
      </c>
      <c r="B103" s="44" t="inlineStr">
        <is>
          <t>Friday</t>
        </is>
      </c>
      <c r="C103" s="41" t="n">
        <v>0</v>
      </c>
      <c r="D103" s="41" t="n">
        <v>0</v>
      </c>
      <c r="E103" s="41">
        <f>C103*D103</f>
        <v/>
      </c>
      <c r="F103" s="44" t="inlineStr"/>
    </row>
    <row r="104" ht="22" customHeight="1">
      <c r="A104" s="39" t="n">
        <v>46123</v>
      </c>
      <c r="B104" s="40" t="inlineStr">
        <is>
          <t>Saturday</t>
        </is>
      </c>
      <c r="C104" s="41" t="n">
        <v>0</v>
      </c>
      <c r="D104" s="41" t="n">
        <v>0</v>
      </c>
      <c r="E104" s="41">
        <f>C104*D104</f>
        <v/>
      </c>
      <c r="F104" s="40" t="inlineStr"/>
    </row>
    <row r="105" ht="22" customHeight="1">
      <c r="A105" s="43" t="n">
        <v>46124</v>
      </c>
      <c r="B105" s="44" t="inlineStr">
        <is>
          <t>Sunday</t>
        </is>
      </c>
      <c r="C105" s="41" t="n">
        <v>0</v>
      </c>
      <c r="D105" s="41" t="n">
        <v>0</v>
      </c>
      <c r="E105" s="41">
        <f>C105*D105</f>
        <v/>
      </c>
      <c r="F105" s="44" t="inlineStr"/>
    </row>
    <row r="106" ht="22" customHeight="1">
      <c r="A106" s="39" t="n">
        <v>46125</v>
      </c>
      <c r="B106" s="40" t="inlineStr">
        <is>
          <t>Monday</t>
        </is>
      </c>
      <c r="C106" s="41" t="n">
        <v>0</v>
      </c>
      <c r="D106" s="41" t="n">
        <v>0</v>
      </c>
      <c r="E106" s="41">
        <f>C106*D106</f>
        <v/>
      </c>
      <c r="F106" s="40" t="inlineStr"/>
    </row>
    <row r="107" ht="22" customHeight="1">
      <c r="A107" s="43" t="n">
        <v>46126</v>
      </c>
      <c r="B107" s="44" t="inlineStr">
        <is>
          <t>Tuesday</t>
        </is>
      </c>
      <c r="C107" s="41" t="n">
        <v>0</v>
      </c>
      <c r="D107" s="41" t="n">
        <v>0</v>
      </c>
      <c r="E107" s="41">
        <f>C107*D107</f>
        <v/>
      </c>
      <c r="F107" s="44" t="inlineStr"/>
    </row>
    <row r="108" ht="22" customHeight="1">
      <c r="A108" s="39" t="n">
        <v>46127</v>
      </c>
      <c r="B108" s="40" t="inlineStr">
        <is>
          <t>Wednesday</t>
        </is>
      </c>
      <c r="C108" s="41" t="n">
        <v>0</v>
      </c>
      <c r="D108" s="41" t="n">
        <v>0</v>
      </c>
      <c r="E108" s="41">
        <f>C108*D108</f>
        <v/>
      </c>
      <c r="F108" s="40" t="inlineStr"/>
    </row>
    <row r="109" ht="22" customHeight="1">
      <c r="A109" s="43" t="n">
        <v>46128</v>
      </c>
      <c r="B109" s="44" t="inlineStr">
        <is>
          <t>Thursday</t>
        </is>
      </c>
      <c r="C109" s="41" t="n">
        <v>0</v>
      </c>
      <c r="D109" s="41" t="n">
        <v>0</v>
      </c>
      <c r="E109" s="41">
        <f>C109*D109</f>
        <v/>
      </c>
      <c r="F109" s="44" t="inlineStr"/>
    </row>
    <row r="110" ht="22" customHeight="1">
      <c r="A110" s="39" t="n">
        <v>46129</v>
      </c>
      <c r="B110" s="40" t="inlineStr">
        <is>
          <t>Friday</t>
        </is>
      </c>
      <c r="C110" s="41" t="n">
        <v>0</v>
      </c>
      <c r="D110" s="41" t="n">
        <v>0</v>
      </c>
      <c r="E110" s="41">
        <f>C110*D110</f>
        <v/>
      </c>
      <c r="F110" s="40" t="inlineStr"/>
    </row>
    <row r="111" ht="22" customHeight="1">
      <c r="A111" s="43" t="n">
        <v>46130</v>
      </c>
      <c r="B111" s="44" t="inlineStr">
        <is>
          <t>Saturday</t>
        </is>
      </c>
      <c r="C111" s="41" t="n">
        <v>0</v>
      </c>
      <c r="D111" s="41" t="n">
        <v>0</v>
      </c>
      <c r="E111" s="41">
        <f>C111*D111</f>
        <v/>
      </c>
      <c r="F111" s="44" t="inlineStr"/>
    </row>
    <row r="112" ht="22" customHeight="1">
      <c r="A112" s="39" t="n">
        <v>46131</v>
      </c>
      <c r="B112" s="40" t="inlineStr">
        <is>
          <t>Sunday</t>
        </is>
      </c>
      <c r="C112" s="41" t="n">
        <v>0</v>
      </c>
      <c r="D112" s="41" t="n">
        <v>0</v>
      </c>
      <c r="E112" s="41">
        <f>C112*D112</f>
        <v/>
      </c>
      <c r="F112" s="40" t="inlineStr"/>
    </row>
    <row r="113" ht="22" customHeight="1">
      <c r="A113" s="43" t="n">
        <v>46132</v>
      </c>
      <c r="B113" s="44" t="inlineStr">
        <is>
          <t>Monday</t>
        </is>
      </c>
      <c r="C113" s="41" t="n">
        <v>0</v>
      </c>
      <c r="D113" s="41" t="n">
        <v>0</v>
      </c>
      <c r="E113" s="41">
        <f>C113*D113</f>
        <v/>
      </c>
      <c r="F113" s="44" t="inlineStr"/>
    </row>
    <row r="114" ht="22" customHeight="1">
      <c r="A114" s="39" t="n">
        <v>46133</v>
      </c>
      <c r="B114" s="40" t="inlineStr">
        <is>
          <t>Tuesday</t>
        </is>
      </c>
      <c r="C114" s="41" t="n">
        <v>0</v>
      </c>
      <c r="D114" s="41" t="n">
        <v>0</v>
      </c>
      <c r="E114" s="41">
        <f>C114*D114</f>
        <v/>
      </c>
      <c r="F114" s="40" t="inlineStr"/>
    </row>
    <row r="115" ht="22" customHeight="1">
      <c r="A115" s="43" t="n">
        <v>46134</v>
      </c>
      <c r="B115" s="44" t="inlineStr">
        <is>
          <t>Wednesday</t>
        </is>
      </c>
      <c r="C115" s="41" t="n">
        <v>0</v>
      </c>
      <c r="D115" s="41" t="n">
        <v>0</v>
      </c>
      <c r="E115" s="41">
        <f>C115*D115</f>
        <v/>
      </c>
      <c r="F115" s="44" t="inlineStr"/>
    </row>
    <row r="116" ht="22" customHeight="1">
      <c r="A116" s="39" t="n">
        <v>46135</v>
      </c>
      <c r="B116" s="40" t="inlineStr">
        <is>
          <t>Thursday</t>
        </is>
      </c>
      <c r="C116" s="41" t="n">
        <v>0</v>
      </c>
      <c r="D116" s="41" t="n">
        <v>0</v>
      </c>
      <c r="E116" s="41">
        <f>C116*D116</f>
        <v/>
      </c>
      <c r="F116" s="40" t="inlineStr"/>
    </row>
    <row r="117" ht="22" customHeight="1">
      <c r="A117" s="43" t="n">
        <v>46136</v>
      </c>
      <c r="B117" s="44" t="inlineStr">
        <is>
          <t>Friday</t>
        </is>
      </c>
      <c r="C117" s="41" t="n">
        <v>0</v>
      </c>
      <c r="D117" s="41" t="n">
        <v>0</v>
      </c>
      <c r="E117" s="41">
        <f>C117*D117</f>
        <v/>
      </c>
      <c r="F117" s="44" t="inlineStr"/>
    </row>
    <row r="118" ht="22" customHeight="1">
      <c r="A118" s="39" t="n">
        <v>46137</v>
      </c>
      <c r="B118" s="40" t="inlineStr">
        <is>
          <t>Saturday</t>
        </is>
      </c>
      <c r="C118" s="41" t="n">
        <v>0</v>
      </c>
      <c r="D118" s="41" t="n">
        <v>0</v>
      </c>
      <c r="E118" s="41">
        <f>C118*D118</f>
        <v/>
      </c>
      <c r="F118" s="40" t="inlineStr"/>
    </row>
    <row r="119" ht="22" customHeight="1">
      <c r="A119" s="43" t="n">
        <v>46138</v>
      </c>
      <c r="B119" s="44" t="inlineStr">
        <is>
          <t>Sunday</t>
        </is>
      </c>
      <c r="C119" s="41" t="n">
        <v>0</v>
      </c>
      <c r="D119" s="41" t="n">
        <v>0</v>
      </c>
      <c r="E119" s="41">
        <f>C119*D119</f>
        <v/>
      </c>
      <c r="F119" s="44" t="inlineStr"/>
    </row>
    <row r="120" ht="22" customHeight="1">
      <c r="A120" s="39" t="n">
        <v>46139</v>
      </c>
      <c r="B120" s="40" t="inlineStr">
        <is>
          <t>Monday</t>
        </is>
      </c>
      <c r="C120" s="41" t="n">
        <v>0</v>
      </c>
      <c r="D120" s="41" t="n">
        <v>0</v>
      </c>
      <c r="E120" s="41">
        <f>C120*D120</f>
        <v/>
      </c>
      <c r="F120" s="40" t="inlineStr"/>
    </row>
    <row r="121" ht="22" customHeight="1">
      <c r="A121" s="43" t="n">
        <v>46140</v>
      </c>
      <c r="B121" s="44" t="inlineStr">
        <is>
          <t>Tuesday</t>
        </is>
      </c>
      <c r="C121" s="41" t="n">
        <v>0</v>
      </c>
      <c r="D121" s="41" t="n">
        <v>0</v>
      </c>
      <c r="E121" s="41">
        <f>C121*D121</f>
        <v/>
      </c>
      <c r="F121" s="44" t="inlineStr"/>
    </row>
    <row r="122" ht="22" customHeight="1">
      <c r="A122" s="39" t="n">
        <v>46141</v>
      </c>
      <c r="B122" s="40" t="inlineStr">
        <is>
          <t>Wednesday</t>
        </is>
      </c>
      <c r="C122" s="41" t="n">
        <v>0</v>
      </c>
      <c r="D122" s="41" t="n">
        <v>0</v>
      </c>
      <c r="E122" s="41">
        <f>C122*D122</f>
        <v/>
      </c>
      <c r="F122" s="40" t="inlineStr"/>
    </row>
    <row r="123" ht="22" customHeight="1">
      <c r="A123" s="43" t="n">
        <v>46142</v>
      </c>
      <c r="B123" s="44" t="inlineStr">
        <is>
          <t>Thursday</t>
        </is>
      </c>
      <c r="C123" s="41" t="n">
        <v>0</v>
      </c>
      <c r="D123" s="41" t="n">
        <v>0</v>
      </c>
      <c r="E123" s="41">
        <f>C123*D123</f>
        <v/>
      </c>
      <c r="F123" s="44" t="inlineStr"/>
    </row>
    <row r="124" ht="22" customHeight="1">
      <c r="A124" s="39" t="n">
        <v>46143</v>
      </c>
      <c r="B124" s="40" t="inlineStr">
        <is>
          <t>Friday</t>
        </is>
      </c>
      <c r="C124" s="41" t="n">
        <v>0</v>
      </c>
      <c r="D124" s="41" t="n">
        <v>0</v>
      </c>
      <c r="E124" s="41">
        <f>C124*D124</f>
        <v/>
      </c>
      <c r="F124" s="40" t="inlineStr"/>
    </row>
    <row r="125" ht="22" customHeight="1">
      <c r="A125" s="43" t="n">
        <v>46144</v>
      </c>
      <c r="B125" s="44" t="inlineStr">
        <is>
          <t>Saturday</t>
        </is>
      </c>
      <c r="C125" s="41" t="n">
        <v>0</v>
      </c>
      <c r="D125" s="41" t="n">
        <v>0</v>
      </c>
      <c r="E125" s="41">
        <f>C125*D125</f>
        <v/>
      </c>
      <c r="F125" s="44" t="inlineStr"/>
    </row>
    <row r="126" ht="22" customHeight="1">
      <c r="A126" s="39" t="n">
        <v>46145</v>
      </c>
      <c r="B126" s="40" t="inlineStr">
        <is>
          <t>Sunday</t>
        </is>
      </c>
      <c r="C126" s="41" t="n">
        <v>0</v>
      </c>
      <c r="D126" s="41" t="n">
        <v>0</v>
      </c>
      <c r="E126" s="41">
        <f>C126*D126</f>
        <v/>
      </c>
      <c r="F126" s="40" t="inlineStr"/>
    </row>
    <row r="127" ht="22" customHeight="1">
      <c r="A127" s="43" t="n">
        <v>46146</v>
      </c>
      <c r="B127" s="44" t="inlineStr">
        <is>
          <t>Monday</t>
        </is>
      </c>
      <c r="C127" s="41" t="n">
        <v>0</v>
      </c>
      <c r="D127" s="41" t="n">
        <v>0</v>
      </c>
      <c r="E127" s="41">
        <f>C127*D127</f>
        <v/>
      </c>
      <c r="F127" s="44" t="inlineStr"/>
    </row>
    <row r="128" ht="22" customHeight="1">
      <c r="A128" s="39" t="n">
        <v>46147</v>
      </c>
      <c r="B128" s="40" t="inlineStr">
        <is>
          <t>Tuesday</t>
        </is>
      </c>
      <c r="C128" s="41" t="n">
        <v>0</v>
      </c>
      <c r="D128" s="41" t="n">
        <v>0</v>
      </c>
      <c r="E128" s="41">
        <f>C128*D128</f>
        <v/>
      </c>
      <c r="F128" s="40" t="inlineStr"/>
    </row>
    <row r="129" ht="22" customHeight="1">
      <c r="A129" s="43" t="n">
        <v>46148</v>
      </c>
      <c r="B129" s="44" t="inlineStr">
        <is>
          <t>Wednesday</t>
        </is>
      </c>
      <c r="C129" s="41" t="n">
        <v>0</v>
      </c>
      <c r="D129" s="41" t="n">
        <v>0</v>
      </c>
      <c r="E129" s="41">
        <f>C129*D129</f>
        <v/>
      </c>
      <c r="F129" s="44" t="inlineStr"/>
    </row>
    <row r="130" ht="22" customHeight="1">
      <c r="A130" s="39" t="n">
        <v>46149</v>
      </c>
      <c r="B130" s="40" t="inlineStr">
        <is>
          <t>Thursday</t>
        </is>
      </c>
      <c r="C130" s="41" t="n">
        <v>0</v>
      </c>
      <c r="D130" s="41" t="n">
        <v>0</v>
      </c>
      <c r="E130" s="41">
        <f>C130*D130</f>
        <v/>
      </c>
      <c r="F130" s="40" t="inlineStr"/>
    </row>
    <row r="131" ht="22" customHeight="1">
      <c r="A131" s="43" t="n">
        <v>46150</v>
      </c>
      <c r="B131" s="44" t="inlineStr">
        <is>
          <t>Friday</t>
        </is>
      </c>
      <c r="C131" s="41" t="n">
        <v>0</v>
      </c>
      <c r="D131" s="41" t="n">
        <v>0</v>
      </c>
      <c r="E131" s="41">
        <f>C131*D131</f>
        <v/>
      </c>
      <c r="F131" s="44" t="inlineStr"/>
    </row>
    <row r="132" ht="22" customHeight="1">
      <c r="A132" s="39" t="n">
        <v>46151</v>
      </c>
      <c r="B132" s="40" t="inlineStr">
        <is>
          <t>Saturday</t>
        </is>
      </c>
      <c r="C132" s="41" t="n">
        <v>0</v>
      </c>
      <c r="D132" s="41" t="n">
        <v>0</v>
      </c>
      <c r="E132" s="41">
        <f>C132*D132</f>
        <v/>
      </c>
      <c r="F132" s="40" t="inlineStr"/>
    </row>
    <row r="133" ht="22" customHeight="1">
      <c r="A133" s="43" t="n">
        <v>46152</v>
      </c>
      <c r="B133" s="44" t="inlineStr">
        <is>
          <t>Sunday</t>
        </is>
      </c>
      <c r="C133" s="41" t="n">
        <v>0</v>
      </c>
      <c r="D133" s="41" t="n">
        <v>0</v>
      </c>
      <c r="E133" s="41">
        <f>C133*D133</f>
        <v/>
      </c>
      <c r="F133" s="44" t="inlineStr"/>
    </row>
    <row r="134" ht="22" customHeight="1">
      <c r="A134" s="39" t="n">
        <v>46153</v>
      </c>
      <c r="B134" s="40" t="inlineStr">
        <is>
          <t>Monday</t>
        </is>
      </c>
      <c r="C134" s="41" t="n">
        <v>0</v>
      </c>
      <c r="D134" s="41" t="n">
        <v>0</v>
      </c>
      <c r="E134" s="41">
        <f>C134*D134</f>
        <v/>
      </c>
      <c r="F134" s="40" t="inlineStr"/>
    </row>
    <row r="135" ht="22" customHeight="1">
      <c r="A135" s="43" t="n">
        <v>46154</v>
      </c>
      <c r="B135" s="44" t="inlineStr">
        <is>
          <t>Tuesday</t>
        </is>
      </c>
      <c r="C135" s="41" t="n">
        <v>0</v>
      </c>
      <c r="D135" s="41" t="n">
        <v>0</v>
      </c>
      <c r="E135" s="41">
        <f>C135*D135</f>
        <v/>
      </c>
      <c r="F135" s="44" t="inlineStr"/>
    </row>
    <row r="136" ht="22" customHeight="1">
      <c r="A136" s="39" t="n">
        <v>46155</v>
      </c>
      <c r="B136" s="40" t="inlineStr">
        <is>
          <t>Wednesday</t>
        </is>
      </c>
      <c r="C136" s="41" t="n">
        <v>0</v>
      </c>
      <c r="D136" s="41" t="n">
        <v>0</v>
      </c>
      <c r="E136" s="41">
        <f>C136*D136</f>
        <v/>
      </c>
      <c r="F136" s="40" t="inlineStr"/>
    </row>
    <row r="137" ht="22" customHeight="1">
      <c r="A137" s="43" t="n">
        <v>46156</v>
      </c>
      <c r="B137" s="44" t="inlineStr">
        <is>
          <t>Thursday</t>
        </is>
      </c>
      <c r="C137" s="41" t="n">
        <v>0</v>
      </c>
      <c r="D137" s="41" t="n">
        <v>0</v>
      </c>
      <c r="E137" s="41">
        <f>C137*D137</f>
        <v/>
      </c>
      <c r="F137" s="44" t="inlineStr"/>
    </row>
    <row r="138" ht="22" customHeight="1">
      <c r="A138" s="39" t="n">
        <v>46157</v>
      </c>
      <c r="B138" s="40" t="inlineStr">
        <is>
          <t>Friday</t>
        </is>
      </c>
      <c r="C138" s="41" t="n">
        <v>0</v>
      </c>
      <c r="D138" s="41" t="n">
        <v>0</v>
      </c>
      <c r="E138" s="41">
        <f>C138*D138</f>
        <v/>
      </c>
      <c r="F138" s="40" t="inlineStr"/>
    </row>
    <row r="139" ht="22" customHeight="1">
      <c r="A139" s="43" t="n">
        <v>46158</v>
      </c>
      <c r="B139" s="44" t="inlineStr">
        <is>
          <t>Saturday</t>
        </is>
      </c>
      <c r="C139" s="41" t="n">
        <v>0</v>
      </c>
      <c r="D139" s="41" t="n">
        <v>0</v>
      </c>
      <c r="E139" s="41">
        <f>C139*D139</f>
        <v/>
      </c>
      <c r="F139" s="44" t="inlineStr"/>
    </row>
    <row r="140" ht="22" customHeight="1">
      <c r="A140" s="39" t="n">
        <v>46159</v>
      </c>
      <c r="B140" s="40" t="inlineStr">
        <is>
          <t>Sunday</t>
        </is>
      </c>
      <c r="C140" s="41" t="n">
        <v>0</v>
      </c>
      <c r="D140" s="41" t="n">
        <v>0</v>
      </c>
      <c r="E140" s="41">
        <f>C140*D140</f>
        <v/>
      </c>
      <c r="F140" s="40" t="inlineStr"/>
    </row>
    <row r="141" ht="22" customHeight="1">
      <c r="A141" s="43" t="n">
        <v>46160</v>
      </c>
      <c r="B141" s="44" t="inlineStr">
        <is>
          <t>Monday</t>
        </is>
      </c>
      <c r="C141" s="41" t="n">
        <v>0</v>
      </c>
      <c r="D141" s="41" t="n">
        <v>0</v>
      </c>
      <c r="E141" s="41">
        <f>C141*D141</f>
        <v/>
      </c>
      <c r="F141" s="44" t="inlineStr"/>
    </row>
    <row r="142" ht="22" customHeight="1">
      <c r="A142" s="39" t="n">
        <v>46161</v>
      </c>
      <c r="B142" s="40" t="inlineStr">
        <is>
          <t>Tuesday</t>
        </is>
      </c>
      <c r="C142" s="41" t="n">
        <v>0</v>
      </c>
      <c r="D142" s="41" t="n">
        <v>0</v>
      </c>
      <c r="E142" s="41">
        <f>C142*D142</f>
        <v/>
      </c>
      <c r="F142" s="40" t="inlineStr"/>
    </row>
    <row r="143" ht="22" customHeight="1">
      <c r="A143" s="43" t="n">
        <v>46162</v>
      </c>
      <c r="B143" s="44" t="inlineStr">
        <is>
          <t>Wednesday</t>
        </is>
      </c>
      <c r="C143" s="41" t="n">
        <v>0</v>
      </c>
      <c r="D143" s="41" t="n">
        <v>0</v>
      </c>
      <c r="E143" s="41">
        <f>C143*D143</f>
        <v/>
      </c>
      <c r="F143" s="44" t="inlineStr"/>
    </row>
    <row r="144" ht="22" customHeight="1">
      <c r="A144" s="39" t="n">
        <v>46163</v>
      </c>
      <c r="B144" s="40" t="inlineStr">
        <is>
          <t>Thursday</t>
        </is>
      </c>
      <c r="C144" s="41" t="n">
        <v>0</v>
      </c>
      <c r="D144" s="41" t="n">
        <v>0</v>
      </c>
      <c r="E144" s="41">
        <f>C144*D144</f>
        <v/>
      </c>
      <c r="F144" s="40" t="inlineStr"/>
    </row>
    <row r="145" ht="22" customHeight="1">
      <c r="A145" s="43" t="n">
        <v>46164</v>
      </c>
      <c r="B145" s="44" t="inlineStr">
        <is>
          <t>Friday</t>
        </is>
      </c>
      <c r="C145" s="41" t="n">
        <v>0</v>
      </c>
      <c r="D145" s="41" t="n">
        <v>0</v>
      </c>
      <c r="E145" s="41">
        <f>C145*D145</f>
        <v/>
      </c>
      <c r="F145" s="44" t="inlineStr"/>
    </row>
    <row r="146" ht="22" customHeight="1">
      <c r="A146" s="39" t="n">
        <v>46165</v>
      </c>
      <c r="B146" s="40" t="inlineStr">
        <is>
          <t>Saturday</t>
        </is>
      </c>
      <c r="C146" s="41" t="n">
        <v>0</v>
      </c>
      <c r="D146" s="41" t="n">
        <v>0</v>
      </c>
      <c r="E146" s="41">
        <f>C146*D146</f>
        <v/>
      </c>
      <c r="F146" s="40" t="inlineStr"/>
    </row>
    <row r="147" ht="22" customHeight="1">
      <c r="A147" s="43" t="n">
        <v>46166</v>
      </c>
      <c r="B147" s="44" t="inlineStr">
        <is>
          <t>Sunday</t>
        </is>
      </c>
      <c r="C147" s="41" t="n">
        <v>0</v>
      </c>
      <c r="D147" s="41" t="n">
        <v>0</v>
      </c>
      <c r="E147" s="41">
        <f>C147*D147</f>
        <v/>
      </c>
      <c r="F147" s="44" t="inlineStr"/>
    </row>
    <row r="148" ht="22" customHeight="1">
      <c r="A148" s="39" t="n">
        <v>46167</v>
      </c>
      <c r="B148" s="40" t="inlineStr">
        <is>
          <t>Monday</t>
        </is>
      </c>
      <c r="C148" s="41" t="n">
        <v>0</v>
      </c>
      <c r="D148" s="41" t="n">
        <v>0</v>
      </c>
      <c r="E148" s="41">
        <f>C148*D148</f>
        <v/>
      </c>
      <c r="F148" s="40" t="inlineStr"/>
    </row>
    <row r="149" ht="22" customHeight="1">
      <c r="A149" s="43" t="n">
        <v>46168</v>
      </c>
      <c r="B149" s="44" t="inlineStr">
        <is>
          <t>Tuesday</t>
        </is>
      </c>
      <c r="C149" s="41" t="n">
        <v>0</v>
      </c>
      <c r="D149" s="41" t="n">
        <v>0</v>
      </c>
      <c r="E149" s="41">
        <f>C149*D149</f>
        <v/>
      </c>
      <c r="F149" s="44" t="inlineStr"/>
    </row>
    <row r="150" ht="22" customHeight="1">
      <c r="A150" s="39" t="n">
        <v>46169</v>
      </c>
      <c r="B150" s="40" t="inlineStr">
        <is>
          <t>Wednesday</t>
        </is>
      </c>
      <c r="C150" s="41" t="n">
        <v>0</v>
      </c>
      <c r="D150" s="41" t="n">
        <v>0</v>
      </c>
      <c r="E150" s="41">
        <f>C150*D150</f>
        <v/>
      </c>
      <c r="F150" s="40" t="inlineStr"/>
    </row>
    <row r="151" ht="22" customHeight="1">
      <c r="A151" s="43" t="n">
        <v>46170</v>
      </c>
      <c r="B151" s="44" t="inlineStr">
        <is>
          <t>Thursday</t>
        </is>
      </c>
      <c r="C151" s="41" t="n">
        <v>0</v>
      </c>
      <c r="D151" s="41" t="n">
        <v>0</v>
      </c>
      <c r="E151" s="41">
        <f>C151*D151</f>
        <v/>
      </c>
      <c r="F151" s="44" t="inlineStr"/>
    </row>
    <row r="152" ht="22" customHeight="1">
      <c r="A152" s="39" t="n">
        <v>46171</v>
      </c>
      <c r="B152" s="40" t="inlineStr">
        <is>
          <t>Friday</t>
        </is>
      </c>
      <c r="C152" s="41" t="n">
        <v>0</v>
      </c>
      <c r="D152" s="41" t="n">
        <v>0</v>
      </c>
      <c r="E152" s="41">
        <f>C152*D152</f>
        <v/>
      </c>
      <c r="F152" s="40" t="inlineStr"/>
    </row>
    <row r="153" ht="22" customHeight="1">
      <c r="A153" s="43" t="n">
        <v>46172</v>
      </c>
      <c r="B153" s="44" t="inlineStr">
        <is>
          <t>Saturday</t>
        </is>
      </c>
      <c r="C153" s="41" t="n">
        <v>0</v>
      </c>
      <c r="D153" s="41" t="n">
        <v>0</v>
      </c>
      <c r="E153" s="41">
        <f>C153*D153</f>
        <v/>
      </c>
      <c r="F153" s="44" t="inlineStr"/>
    </row>
    <row r="154" ht="22" customHeight="1">
      <c r="A154" s="39" t="n">
        <v>46173</v>
      </c>
      <c r="B154" s="40" t="inlineStr">
        <is>
          <t>Sunday</t>
        </is>
      </c>
      <c r="C154" s="41" t="n">
        <v>0</v>
      </c>
      <c r="D154" s="41" t="n">
        <v>0</v>
      </c>
      <c r="E154" s="41">
        <f>C154*D154</f>
        <v/>
      </c>
      <c r="F154" s="40" t="inlineStr"/>
    </row>
    <row r="155" ht="22" customHeight="1">
      <c r="A155" s="43" t="n">
        <v>46174</v>
      </c>
      <c r="B155" s="44" t="inlineStr">
        <is>
          <t>Monday</t>
        </is>
      </c>
      <c r="C155" s="41" t="n">
        <v>0</v>
      </c>
      <c r="D155" s="41" t="n">
        <v>0</v>
      </c>
      <c r="E155" s="41">
        <f>C155*D155</f>
        <v/>
      </c>
      <c r="F155" s="44" t="inlineStr"/>
    </row>
    <row r="156" ht="22" customHeight="1">
      <c r="A156" s="39" t="n">
        <v>46175</v>
      </c>
      <c r="B156" s="40" t="inlineStr">
        <is>
          <t>Tuesday</t>
        </is>
      </c>
      <c r="C156" s="41" t="n">
        <v>0</v>
      </c>
      <c r="D156" s="41" t="n">
        <v>0</v>
      </c>
      <c r="E156" s="41">
        <f>C156*D156</f>
        <v/>
      </c>
      <c r="F156" s="40" t="inlineStr"/>
    </row>
    <row r="157" ht="22" customHeight="1">
      <c r="A157" s="43" t="n">
        <v>46176</v>
      </c>
      <c r="B157" s="44" t="inlineStr">
        <is>
          <t>Wednesday</t>
        </is>
      </c>
      <c r="C157" s="41" t="n">
        <v>0</v>
      </c>
      <c r="D157" s="41" t="n">
        <v>0</v>
      </c>
      <c r="E157" s="41">
        <f>C157*D157</f>
        <v/>
      </c>
      <c r="F157" s="44" t="inlineStr"/>
    </row>
    <row r="158" ht="22" customHeight="1">
      <c r="A158" s="39" t="n">
        <v>46177</v>
      </c>
      <c r="B158" s="40" t="inlineStr">
        <is>
          <t>Thursday</t>
        </is>
      </c>
      <c r="C158" s="41" t="n">
        <v>0</v>
      </c>
      <c r="D158" s="41" t="n">
        <v>0</v>
      </c>
      <c r="E158" s="41">
        <f>C158*D158</f>
        <v/>
      </c>
      <c r="F158" s="40" t="inlineStr"/>
    </row>
    <row r="159" ht="22" customHeight="1">
      <c r="A159" s="43" t="n">
        <v>46178</v>
      </c>
      <c r="B159" s="44" t="inlineStr">
        <is>
          <t>Friday</t>
        </is>
      </c>
      <c r="C159" s="41" t="n">
        <v>0</v>
      </c>
      <c r="D159" s="41" t="n">
        <v>0</v>
      </c>
      <c r="E159" s="41">
        <f>C159*D159</f>
        <v/>
      </c>
      <c r="F159" s="44" t="inlineStr"/>
    </row>
    <row r="160" ht="22" customHeight="1">
      <c r="A160" s="39" t="n">
        <v>46179</v>
      </c>
      <c r="B160" s="40" t="inlineStr">
        <is>
          <t>Saturday</t>
        </is>
      </c>
      <c r="C160" s="41" t="n">
        <v>0</v>
      </c>
      <c r="D160" s="41" t="n">
        <v>0</v>
      </c>
      <c r="E160" s="41">
        <f>C160*D160</f>
        <v/>
      </c>
      <c r="F160" s="40" t="inlineStr"/>
    </row>
    <row r="161" ht="22" customHeight="1">
      <c r="A161" s="43" t="n">
        <v>46180</v>
      </c>
      <c r="B161" s="44" t="inlineStr">
        <is>
          <t>Sunday</t>
        </is>
      </c>
      <c r="C161" s="41" t="n">
        <v>0</v>
      </c>
      <c r="D161" s="41" t="n">
        <v>0</v>
      </c>
      <c r="E161" s="41">
        <f>C161*D161</f>
        <v/>
      </c>
      <c r="F161" s="44" t="inlineStr"/>
    </row>
    <row r="162" ht="22" customHeight="1">
      <c r="A162" s="39" t="n">
        <v>46181</v>
      </c>
      <c r="B162" s="40" t="inlineStr">
        <is>
          <t>Monday</t>
        </is>
      </c>
      <c r="C162" s="41" t="n">
        <v>0</v>
      </c>
      <c r="D162" s="41" t="n">
        <v>0</v>
      </c>
      <c r="E162" s="41">
        <f>C162*D162</f>
        <v/>
      </c>
      <c r="F162" s="40" t="inlineStr"/>
    </row>
    <row r="163" ht="22" customHeight="1">
      <c r="A163" s="43" t="n">
        <v>46182</v>
      </c>
      <c r="B163" s="44" t="inlineStr">
        <is>
          <t>Tuesday</t>
        </is>
      </c>
      <c r="C163" s="41" t="n">
        <v>0</v>
      </c>
      <c r="D163" s="41" t="n">
        <v>0</v>
      </c>
      <c r="E163" s="41">
        <f>C163*D163</f>
        <v/>
      </c>
      <c r="F163" s="44" t="inlineStr"/>
    </row>
    <row r="164" ht="22" customHeight="1">
      <c r="A164" s="39" t="n">
        <v>46183</v>
      </c>
      <c r="B164" s="40" t="inlineStr">
        <is>
          <t>Wednesday</t>
        </is>
      </c>
      <c r="C164" s="41" t="n">
        <v>0</v>
      </c>
      <c r="D164" s="41" t="n">
        <v>0</v>
      </c>
      <c r="E164" s="41">
        <f>C164*D164</f>
        <v/>
      </c>
      <c r="F164" s="40" t="inlineStr"/>
    </row>
    <row r="165" ht="22" customHeight="1">
      <c r="A165" s="43" t="n">
        <v>46184</v>
      </c>
      <c r="B165" s="44" t="inlineStr">
        <is>
          <t>Thursday</t>
        </is>
      </c>
      <c r="C165" s="41" t="n">
        <v>0</v>
      </c>
      <c r="D165" s="41" t="n">
        <v>0</v>
      </c>
      <c r="E165" s="41">
        <f>C165*D165</f>
        <v/>
      </c>
      <c r="F165" s="44" t="inlineStr"/>
    </row>
    <row r="166" ht="22" customHeight="1">
      <c r="A166" s="39" t="n">
        <v>46185</v>
      </c>
      <c r="B166" s="40" t="inlineStr">
        <is>
          <t>Friday</t>
        </is>
      </c>
      <c r="C166" s="41" t="n">
        <v>0</v>
      </c>
      <c r="D166" s="41" t="n">
        <v>0</v>
      </c>
      <c r="E166" s="41">
        <f>C166*D166</f>
        <v/>
      </c>
      <c r="F166" s="40" t="inlineStr"/>
    </row>
    <row r="167" ht="22" customHeight="1">
      <c r="A167" s="43" t="n">
        <v>46186</v>
      </c>
      <c r="B167" s="44" t="inlineStr">
        <is>
          <t>Saturday</t>
        </is>
      </c>
      <c r="C167" s="41" t="n">
        <v>0</v>
      </c>
      <c r="D167" s="41" t="n">
        <v>0</v>
      </c>
      <c r="E167" s="41">
        <f>C167*D167</f>
        <v/>
      </c>
      <c r="F167" s="44" t="inlineStr"/>
    </row>
    <row r="168" ht="22" customHeight="1">
      <c r="A168" s="39" t="n">
        <v>46187</v>
      </c>
      <c r="B168" s="40" t="inlineStr">
        <is>
          <t>Sunday</t>
        </is>
      </c>
      <c r="C168" s="41" t="n">
        <v>0</v>
      </c>
      <c r="D168" s="41" t="n">
        <v>0</v>
      </c>
      <c r="E168" s="41">
        <f>C168*D168</f>
        <v/>
      </c>
      <c r="F168" s="40" t="inlineStr"/>
    </row>
    <row r="169" ht="22" customHeight="1">
      <c r="A169" s="43" t="n">
        <v>46188</v>
      </c>
      <c r="B169" s="44" t="inlineStr">
        <is>
          <t>Monday</t>
        </is>
      </c>
      <c r="C169" s="41" t="n">
        <v>0</v>
      </c>
      <c r="D169" s="41" t="n">
        <v>0</v>
      </c>
      <c r="E169" s="41">
        <f>C169*D169</f>
        <v/>
      </c>
      <c r="F169" s="44" t="inlineStr"/>
    </row>
    <row r="170" ht="22" customHeight="1">
      <c r="A170" s="39" t="n">
        <v>46189</v>
      </c>
      <c r="B170" s="40" t="inlineStr">
        <is>
          <t>Tuesday</t>
        </is>
      </c>
      <c r="C170" s="41" t="n">
        <v>0</v>
      </c>
      <c r="D170" s="41" t="n">
        <v>0</v>
      </c>
      <c r="E170" s="41">
        <f>C170*D170</f>
        <v/>
      </c>
      <c r="F170" s="40" t="inlineStr"/>
    </row>
    <row r="171" ht="22" customHeight="1">
      <c r="A171" s="43" t="n">
        <v>46190</v>
      </c>
      <c r="B171" s="44" t="inlineStr">
        <is>
          <t>Wednesday</t>
        </is>
      </c>
      <c r="C171" s="41" t="n">
        <v>0</v>
      </c>
      <c r="D171" s="41" t="n">
        <v>0</v>
      </c>
      <c r="E171" s="41">
        <f>C171*D171</f>
        <v/>
      </c>
      <c r="F171" s="44" t="inlineStr"/>
    </row>
    <row r="172" ht="22" customHeight="1">
      <c r="A172" s="39" t="n">
        <v>46191</v>
      </c>
      <c r="B172" s="40" t="inlineStr">
        <is>
          <t>Thursday</t>
        </is>
      </c>
      <c r="C172" s="41" t="n">
        <v>0</v>
      </c>
      <c r="D172" s="41" t="n">
        <v>0</v>
      </c>
      <c r="E172" s="41">
        <f>C172*D172</f>
        <v/>
      </c>
      <c r="F172" s="40" t="inlineStr"/>
    </row>
    <row r="173" ht="22" customHeight="1">
      <c r="A173" s="43" t="n">
        <v>46192</v>
      </c>
      <c r="B173" s="44" t="inlineStr">
        <is>
          <t>Friday</t>
        </is>
      </c>
      <c r="C173" s="41" t="n">
        <v>0</v>
      </c>
      <c r="D173" s="41" t="n">
        <v>0</v>
      </c>
      <c r="E173" s="41">
        <f>C173*D173</f>
        <v/>
      </c>
      <c r="F173" s="44" t="inlineStr"/>
    </row>
    <row r="174" ht="22" customHeight="1">
      <c r="A174" s="39" t="n">
        <v>46193</v>
      </c>
      <c r="B174" s="40" t="inlineStr">
        <is>
          <t>Saturday</t>
        </is>
      </c>
      <c r="C174" s="41" t="n">
        <v>0</v>
      </c>
      <c r="D174" s="41" t="n">
        <v>0</v>
      </c>
      <c r="E174" s="41">
        <f>C174*D174</f>
        <v/>
      </c>
      <c r="F174" s="40" t="inlineStr"/>
    </row>
    <row r="175" ht="22" customHeight="1">
      <c r="A175" s="43" t="n">
        <v>46194</v>
      </c>
      <c r="B175" s="44" t="inlineStr">
        <is>
          <t>Sunday</t>
        </is>
      </c>
      <c r="C175" s="41" t="n">
        <v>0</v>
      </c>
      <c r="D175" s="41" t="n">
        <v>0</v>
      </c>
      <c r="E175" s="41">
        <f>C175*D175</f>
        <v/>
      </c>
      <c r="F175" s="44" t="inlineStr"/>
    </row>
    <row r="176" ht="22" customHeight="1">
      <c r="A176" s="39" t="n">
        <v>46195</v>
      </c>
      <c r="B176" s="40" t="inlineStr">
        <is>
          <t>Monday</t>
        </is>
      </c>
      <c r="C176" s="41" t="n">
        <v>0</v>
      </c>
      <c r="D176" s="41" t="n">
        <v>0</v>
      </c>
      <c r="E176" s="41">
        <f>C176*D176</f>
        <v/>
      </c>
      <c r="F176" s="40" t="inlineStr"/>
    </row>
    <row r="177" ht="22" customHeight="1">
      <c r="A177" s="43" t="n">
        <v>46196</v>
      </c>
      <c r="B177" s="44" t="inlineStr">
        <is>
          <t>Tuesday</t>
        </is>
      </c>
      <c r="C177" s="41" t="n">
        <v>0</v>
      </c>
      <c r="D177" s="41" t="n">
        <v>0</v>
      </c>
      <c r="E177" s="41">
        <f>C177*D177</f>
        <v/>
      </c>
      <c r="F177" s="44" t="inlineStr"/>
    </row>
    <row r="178" ht="22" customHeight="1">
      <c r="A178" s="39" t="n">
        <v>46197</v>
      </c>
      <c r="B178" s="40" t="inlineStr">
        <is>
          <t>Wednesday</t>
        </is>
      </c>
      <c r="C178" s="41" t="n">
        <v>0</v>
      </c>
      <c r="D178" s="41" t="n">
        <v>0</v>
      </c>
      <c r="E178" s="41">
        <f>C178*D178</f>
        <v/>
      </c>
      <c r="F178" s="40" t="inlineStr"/>
    </row>
    <row r="179" ht="22" customHeight="1">
      <c r="A179" s="43" t="n">
        <v>46198</v>
      </c>
      <c r="B179" s="44" t="inlineStr">
        <is>
          <t>Thursday</t>
        </is>
      </c>
      <c r="C179" s="41" t="n">
        <v>0</v>
      </c>
      <c r="D179" s="41" t="n">
        <v>0</v>
      </c>
      <c r="E179" s="41">
        <f>C179*D179</f>
        <v/>
      </c>
      <c r="F179" s="44" t="inlineStr"/>
    </row>
    <row r="180" ht="22" customHeight="1">
      <c r="A180" s="39" t="n">
        <v>46199</v>
      </c>
      <c r="B180" s="40" t="inlineStr">
        <is>
          <t>Friday</t>
        </is>
      </c>
      <c r="C180" s="41" t="n">
        <v>0</v>
      </c>
      <c r="D180" s="41" t="n">
        <v>0</v>
      </c>
      <c r="E180" s="41">
        <f>C180*D180</f>
        <v/>
      </c>
      <c r="F180" s="40" t="inlineStr"/>
    </row>
    <row r="181" ht="22" customHeight="1">
      <c r="A181" s="43" t="n">
        <v>46200</v>
      </c>
      <c r="B181" s="44" t="inlineStr">
        <is>
          <t>Saturday</t>
        </is>
      </c>
      <c r="C181" s="41" t="n">
        <v>0</v>
      </c>
      <c r="D181" s="41" t="n">
        <v>0</v>
      </c>
      <c r="E181" s="41">
        <f>C181*D181</f>
        <v/>
      </c>
      <c r="F181" s="44" t="inlineStr"/>
    </row>
    <row r="182" ht="22" customHeight="1">
      <c r="A182" s="39" t="n">
        <v>46201</v>
      </c>
      <c r="B182" s="40" t="inlineStr">
        <is>
          <t>Sunday</t>
        </is>
      </c>
      <c r="C182" s="41" t="n">
        <v>0</v>
      </c>
      <c r="D182" s="41" t="n">
        <v>0</v>
      </c>
      <c r="E182" s="41">
        <f>C182*D182</f>
        <v/>
      </c>
      <c r="F182" s="40" t="inlineStr"/>
    </row>
    <row r="183" ht="22" customHeight="1">
      <c r="A183" s="43" t="n">
        <v>46202</v>
      </c>
      <c r="B183" s="44" t="inlineStr">
        <is>
          <t>Monday</t>
        </is>
      </c>
      <c r="C183" s="41" t="n">
        <v>0</v>
      </c>
      <c r="D183" s="41" t="n">
        <v>0</v>
      </c>
      <c r="E183" s="41">
        <f>C183*D183</f>
        <v/>
      </c>
      <c r="F183" s="44" t="inlineStr"/>
    </row>
    <row r="184" ht="22" customHeight="1">
      <c r="A184" s="39" t="n">
        <v>46203</v>
      </c>
      <c r="B184" s="40" t="inlineStr">
        <is>
          <t>Tuesday</t>
        </is>
      </c>
      <c r="C184" s="41" t="n">
        <v>0</v>
      </c>
      <c r="D184" s="41" t="n">
        <v>0</v>
      </c>
      <c r="E184" s="41">
        <f>C184*D184</f>
        <v/>
      </c>
      <c r="F184" s="40" t="inlineStr"/>
    </row>
    <row r="185" ht="22" customHeight="1">
      <c r="A185" s="43" t="n">
        <v>46204</v>
      </c>
      <c r="B185" s="44" t="inlineStr">
        <is>
          <t>Wednesday</t>
        </is>
      </c>
      <c r="C185" s="41" t="n">
        <v>0</v>
      </c>
      <c r="D185" s="41" t="n">
        <v>0</v>
      </c>
      <c r="E185" s="41">
        <f>C185*D185</f>
        <v/>
      </c>
      <c r="F185" s="44" t="inlineStr"/>
    </row>
    <row r="186" ht="22" customHeight="1">
      <c r="A186" s="39" t="n">
        <v>46205</v>
      </c>
      <c r="B186" s="40" t="inlineStr">
        <is>
          <t>Thursday</t>
        </is>
      </c>
      <c r="C186" s="41" t="n">
        <v>0</v>
      </c>
      <c r="D186" s="41" t="n">
        <v>0</v>
      </c>
      <c r="E186" s="41">
        <f>C186*D186</f>
        <v/>
      </c>
      <c r="F186" s="40" t="inlineStr"/>
    </row>
    <row r="187" ht="22" customHeight="1">
      <c r="A187" s="43" t="n">
        <v>46206</v>
      </c>
      <c r="B187" s="44" t="inlineStr">
        <is>
          <t>Friday</t>
        </is>
      </c>
      <c r="C187" s="41" t="n">
        <v>0</v>
      </c>
      <c r="D187" s="41" t="n">
        <v>0</v>
      </c>
      <c r="E187" s="41">
        <f>C187*D187</f>
        <v/>
      </c>
      <c r="F187" s="44" t="inlineStr"/>
    </row>
    <row r="188" ht="22" customHeight="1">
      <c r="A188" s="39" t="n">
        <v>46207</v>
      </c>
      <c r="B188" s="40" t="inlineStr">
        <is>
          <t>Saturday</t>
        </is>
      </c>
      <c r="C188" s="41" t="n">
        <v>0</v>
      </c>
      <c r="D188" s="41" t="n">
        <v>0</v>
      </c>
      <c r="E188" s="41">
        <f>C188*D188</f>
        <v/>
      </c>
      <c r="F188" s="40" t="inlineStr"/>
    </row>
    <row r="189" ht="22" customHeight="1">
      <c r="A189" s="43" t="n">
        <v>46208</v>
      </c>
      <c r="B189" s="44" t="inlineStr">
        <is>
          <t>Sunday</t>
        </is>
      </c>
      <c r="C189" s="41" t="n">
        <v>0</v>
      </c>
      <c r="D189" s="41" t="n">
        <v>0</v>
      </c>
      <c r="E189" s="41">
        <f>C189*D189</f>
        <v/>
      </c>
      <c r="F189" s="44" t="inlineStr"/>
    </row>
    <row r="190" ht="22" customHeight="1">
      <c r="A190" s="39" t="n">
        <v>46209</v>
      </c>
      <c r="B190" s="40" t="inlineStr">
        <is>
          <t>Monday</t>
        </is>
      </c>
      <c r="C190" s="41" t="n">
        <v>0</v>
      </c>
      <c r="D190" s="41" t="n">
        <v>0</v>
      </c>
      <c r="E190" s="41">
        <f>C190*D190</f>
        <v/>
      </c>
      <c r="F190" s="40" t="inlineStr"/>
    </row>
    <row r="191" ht="22" customHeight="1">
      <c r="A191" s="43" t="n">
        <v>46210</v>
      </c>
      <c r="B191" s="44" t="inlineStr">
        <is>
          <t>Tuesday</t>
        </is>
      </c>
      <c r="C191" s="41" t="n">
        <v>0</v>
      </c>
      <c r="D191" s="41" t="n">
        <v>0</v>
      </c>
      <c r="E191" s="41">
        <f>C191*D191</f>
        <v/>
      </c>
      <c r="F191" s="44" t="inlineStr"/>
    </row>
    <row r="192" ht="22" customHeight="1">
      <c r="A192" s="39" t="n">
        <v>46211</v>
      </c>
      <c r="B192" s="40" t="inlineStr">
        <is>
          <t>Wednesday</t>
        </is>
      </c>
      <c r="C192" s="41" t="n">
        <v>0</v>
      </c>
      <c r="D192" s="41" t="n">
        <v>0</v>
      </c>
      <c r="E192" s="41">
        <f>C192*D192</f>
        <v/>
      </c>
      <c r="F192" s="40" t="inlineStr"/>
    </row>
    <row r="193" ht="22" customHeight="1">
      <c r="A193" s="43" t="n">
        <v>46212</v>
      </c>
      <c r="B193" s="44" t="inlineStr">
        <is>
          <t>Thursday</t>
        </is>
      </c>
      <c r="C193" s="41" t="n">
        <v>0</v>
      </c>
      <c r="D193" s="41" t="n">
        <v>0</v>
      </c>
      <c r="E193" s="41">
        <f>C193*D193</f>
        <v/>
      </c>
      <c r="F193" s="44" t="inlineStr"/>
    </row>
    <row r="194" ht="22" customHeight="1">
      <c r="A194" s="39" t="n">
        <v>46213</v>
      </c>
      <c r="B194" s="40" t="inlineStr">
        <is>
          <t>Friday</t>
        </is>
      </c>
      <c r="C194" s="41" t="n">
        <v>0</v>
      </c>
      <c r="D194" s="41" t="n">
        <v>0</v>
      </c>
      <c r="E194" s="41">
        <f>C194*D194</f>
        <v/>
      </c>
      <c r="F194" s="40" t="inlineStr"/>
    </row>
    <row r="195" ht="22" customHeight="1">
      <c r="A195" s="43" t="n">
        <v>46214</v>
      </c>
      <c r="B195" s="44" t="inlineStr">
        <is>
          <t>Saturday</t>
        </is>
      </c>
      <c r="C195" s="41" t="n">
        <v>0</v>
      </c>
      <c r="D195" s="41" t="n">
        <v>0</v>
      </c>
      <c r="E195" s="41">
        <f>C195*D195</f>
        <v/>
      </c>
      <c r="F195" s="44" t="inlineStr"/>
    </row>
    <row r="196" ht="22" customHeight="1">
      <c r="A196" s="39" t="n">
        <v>46215</v>
      </c>
      <c r="B196" s="40" t="inlineStr">
        <is>
          <t>Sunday</t>
        </is>
      </c>
      <c r="C196" s="41" t="n">
        <v>0</v>
      </c>
      <c r="D196" s="41" t="n">
        <v>0</v>
      </c>
      <c r="E196" s="41">
        <f>C196*D196</f>
        <v/>
      </c>
      <c r="F196" s="40" t="inlineStr"/>
    </row>
    <row r="197" ht="22" customHeight="1">
      <c r="A197" s="43" t="n">
        <v>46216</v>
      </c>
      <c r="B197" s="44" t="inlineStr">
        <is>
          <t>Monday</t>
        </is>
      </c>
      <c r="C197" s="41" t="n">
        <v>0</v>
      </c>
      <c r="D197" s="41" t="n">
        <v>0</v>
      </c>
      <c r="E197" s="41">
        <f>C197*D197</f>
        <v/>
      </c>
      <c r="F197" s="44" t="inlineStr"/>
    </row>
    <row r="198" ht="22" customHeight="1">
      <c r="A198" s="39" t="n">
        <v>46217</v>
      </c>
      <c r="B198" s="40" t="inlineStr">
        <is>
          <t>Tuesday</t>
        </is>
      </c>
      <c r="C198" s="41" t="n">
        <v>0</v>
      </c>
      <c r="D198" s="41" t="n">
        <v>0</v>
      </c>
      <c r="E198" s="41">
        <f>C198*D198</f>
        <v/>
      </c>
      <c r="F198" s="40" t="inlineStr"/>
    </row>
    <row r="199" ht="22" customHeight="1">
      <c r="A199" s="43" t="n">
        <v>46218</v>
      </c>
      <c r="B199" s="44" t="inlineStr">
        <is>
          <t>Wednesday</t>
        </is>
      </c>
      <c r="C199" s="41" t="n">
        <v>0</v>
      </c>
      <c r="D199" s="41" t="n">
        <v>0</v>
      </c>
      <c r="E199" s="41">
        <f>C199*D199</f>
        <v/>
      </c>
      <c r="F199" s="44" t="inlineStr"/>
    </row>
    <row r="200" ht="22" customHeight="1">
      <c r="A200" s="39" t="n">
        <v>46219</v>
      </c>
      <c r="B200" s="40" t="inlineStr">
        <is>
          <t>Thursday</t>
        </is>
      </c>
      <c r="C200" s="41" t="n">
        <v>0</v>
      </c>
      <c r="D200" s="41" t="n">
        <v>0</v>
      </c>
      <c r="E200" s="41">
        <f>C200*D200</f>
        <v/>
      </c>
      <c r="F200" s="40" t="inlineStr"/>
    </row>
    <row r="201" ht="22" customHeight="1">
      <c r="A201" s="43" t="n">
        <v>46220</v>
      </c>
      <c r="B201" s="44" t="inlineStr">
        <is>
          <t>Friday</t>
        </is>
      </c>
      <c r="C201" s="41" t="n">
        <v>0</v>
      </c>
      <c r="D201" s="41" t="n">
        <v>0</v>
      </c>
      <c r="E201" s="41">
        <f>C201*D201</f>
        <v/>
      </c>
      <c r="F201" s="44" t="inlineStr"/>
    </row>
    <row r="202" ht="22" customHeight="1">
      <c r="A202" s="39" t="n">
        <v>46221</v>
      </c>
      <c r="B202" s="40" t="inlineStr">
        <is>
          <t>Saturday</t>
        </is>
      </c>
      <c r="C202" s="41" t="n">
        <v>0</v>
      </c>
      <c r="D202" s="41" t="n">
        <v>0</v>
      </c>
      <c r="E202" s="41">
        <f>C202*D202</f>
        <v/>
      </c>
      <c r="F202" s="40" t="inlineStr"/>
    </row>
    <row r="203" ht="22" customHeight="1">
      <c r="A203" s="43" t="n">
        <v>46222</v>
      </c>
      <c r="B203" s="44" t="inlineStr">
        <is>
          <t>Sunday</t>
        </is>
      </c>
      <c r="C203" s="41" t="n">
        <v>0</v>
      </c>
      <c r="D203" s="41" t="n">
        <v>0</v>
      </c>
      <c r="E203" s="41">
        <f>C203*D203</f>
        <v/>
      </c>
      <c r="F203" s="44" t="inlineStr"/>
    </row>
    <row r="204" ht="22" customHeight="1">
      <c r="A204" s="39" t="n">
        <v>46223</v>
      </c>
      <c r="B204" s="40" t="inlineStr">
        <is>
          <t>Monday</t>
        </is>
      </c>
      <c r="C204" s="41" t="n">
        <v>0</v>
      </c>
      <c r="D204" s="41" t="n">
        <v>0</v>
      </c>
      <c r="E204" s="41">
        <f>C204*D204</f>
        <v/>
      </c>
      <c r="F204" s="40" t="inlineStr"/>
    </row>
    <row r="205" ht="22" customHeight="1">
      <c r="A205" s="43" t="n">
        <v>46224</v>
      </c>
      <c r="B205" s="44" t="inlineStr">
        <is>
          <t>Tuesday</t>
        </is>
      </c>
      <c r="C205" s="41" t="n">
        <v>0</v>
      </c>
      <c r="D205" s="41" t="n">
        <v>0</v>
      </c>
      <c r="E205" s="41">
        <f>C205*D205</f>
        <v/>
      </c>
      <c r="F205" s="44" t="inlineStr"/>
    </row>
    <row r="206" ht="22" customHeight="1">
      <c r="A206" s="39" t="n">
        <v>46225</v>
      </c>
      <c r="B206" s="40" t="inlineStr">
        <is>
          <t>Wednesday</t>
        </is>
      </c>
      <c r="C206" s="41" t="n">
        <v>0</v>
      </c>
      <c r="D206" s="41" t="n">
        <v>0</v>
      </c>
      <c r="E206" s="41">
        <f>C206*D206</f>
        <v/>
      </c>
      <c r="F206" s="40" t="inlineStr"/>
    </row>
    <row r="207" ht="22" customHeight="1">
      <c r="A207" s="43" t="n">
        <v>46226</v>
      </c>
      <c r="B207" s="44" t="inlineStr">
        <is>
          <t>Thursday</t>
        </is>
      </c>
      <c r="C207" s="41" t="n">
        <v>0</v>
      </c>
      <c r="D207" s="41" t="n">
        <v>0</v>
      </c>
      <c r="E207" s="41">
        <f>C207*D207</f>
        <v/>
      </c>
      <c r="F207" s="44" t="inlineStr"/>
    </row>
    <row r="208" ht="22" customHeight="1">
      <c r="A208" s="39" t="n">
        <v>46227</v>
      </c>
      <c r="B208" s="40" t="inlineStr">
        <is>
          <t>Friday</t>
        </is>
      </c>
      <c r="C208" s="41" t="n">
        <v>0</v>
      </c>
      <c r="D208" s="41" t="n">
        <v>0</v>
      </c>
      <c r="E208" s="41">
        <f>C208*D208</f>
        <v/>
      </c>
      <c r="F208" s="40" t="inlineStr"/>
    </row>
    <row r="209" ht="22" customHeight="1">
      <c r="A209" s="43" t="n">
        <v>46228</v>
      </c>
      <c r="B209" s="44" t="inlineStr">
        <is>
          <t>Saturday</t>
        </is>
      </c>
      <c r="C209" s="41" t="n">
        <v>0</v>
      </c>
      <c r="D209" s="41" t="n">
        <v>0</v>
      </c>
      <c r="E209" s="41">
        <f>C209*D209</f>
        <v/>
      </c>
      <c r="F209" s="44" t="inlineStr"/>
    </row>
    <row r="210" ht="22" customHeight="1">
      <c r="A210" s="39" t="n">
        <v>46229</v>
      </c>
      <c r="B210" s="40" t="inlineStr">
        <is>
          <t>Sunday</t>
        </is>
      </c>
      <c r="C210" s="41" t="n">
        <v>0</v>
      </c>
      <c r="D210" s="41" t="n">
        <v>0</v>
      </c>
      <c r="E210" s="41">
        <f>C210*D210</f>
        <v/>
      </c>
      <c r="F210" s="40" t="inlineStr"/>
    </row>
    <row r="211" ht="22" customHeight="1">
      <c r="A211" s="43" t="n">
        <v>46230</v>
      </c>
      <c r="B211" s="44" t="inlineStr">
        <is>
          <t>Monday</t>
        </is>
      </c>
      <c r="C211" s="41" t="n">
        <v>0</v>
      </c>
      <c r="D211" s="41" t="n">
        <v>0</v>
      </c>
      <c r="E211" s="41">
        <f>C211*D211</f>
        <v/>
      </c>
      <c r="F211" s="44" t="inlineStr"/>
    </row>
    <row r="212" ht="22" customHeight="1">
      <c r="A212" s="39" t="n">
        <v>46231</v>
      </c>
      <c r="B212" s="40" t="inlineStr">
        <is>
          <t>Tuesday</t>
        </is>
      </c>
      <c r="C212" s="41" t="n">
        <v>0</v>
      </c>
      <c r="D212" s="41" t="n">
        <v>0</v>
      </c>
      <c r="E212" s="41">
        <f>C212*D212</f>
        <v/>
      </c>
      <c r="F212" s="40" t="inlineStr"/>
    </row>
    <row r="213" ht="22" customHeight="1">
      <c r="A213" s="43" t="n">
        <v>46232</v>
      </c>
      <c r="B213" s="44" t="inlineStr">
        <is>
          <t>Wednesday</t>
        </is>
      </c>
      <c r="C213" s="41" t="n">
        <v>0</v>
      </c>
      <c r="D213" s="41" t="n">
        <v>0</v>
      </c>
      <c r="E213" s="41">
        <f>C213*D213</f>
        <v/>
      </c>
      <c r="F213" s="44" t="inlineStr"/>
    </row>
    <row r="214" ht="22" customHeight="1">
      <c r="A214" s="39" t="n">
        <v>46233</v>
      </c>
      <c r="B214" s="40" t="inlineStr">
        <is>
          <t>Thursday</t>
        </is>
      </c>
      <c r="C214" s="41" t="n">
        <v>0</v>
      </c>
      <c r="D214" s="41" t="n">
        <v>0</v>
      </c>
      <c r="E214" s="41">
        <f>C214*D214</f>
        <v/>
      </c>
      <c r="F214" s="40" t="inlineStr"/>
    </row>
    <row r="215" ht="22" customHeight="1">
      <c r="A215" s="43" t="n">
        <v>46234</v>
      </c>
      <c r="B215" s="44" t="inlineStr">
        <is>
          <t>Friday</t>
        </is>
      </c>
      <c r="C215" s="41" t="n">
        <v>0</v>
      </c>
      <c r="D215" s="41" t="n">
        <v>0</v>
      </c>
      <c r="E215" s="41">
        <f>C215*D215</f>
        <v/>
      </c>
      <c r="F215" s="44" t="inlineStr"/>
    </row>
    <row r="216" ht="22" customHeight="1">
      <c r="A216" s="39" t="n">
        <v>46235</v>
      </c>
      <c r="B216" s="40" t="inlineStr">
        <is>
          <t>Saturday</t>
        </is>
      </c>
      <c r="C216" s="41" t="n">
        <v>0</v>
      </c>
      <c r="D216" s="41" t="n">
        <v>0</v>
      </c>
      <c r="E216" s="41">
        <f>C216*D216</f>
        <v/>
      </c>
      <c r="F216" s="40" t="inlineStr"/>
    </row>
    <row r="217" ht="22" customHeight="1">
      <c r="A217" s="43" t="n">
        <v>46236</v>
      </c>
      <c r="B217" s="44" t="inlineStr">
        <is>
          <t>Sunday</t>
        </is>
      </c>
      <c r="C217" s="41" t="n">
        <v>0</v>
      </c>
      <c r="D217" s="41" t="n">
        <v>0</v>
      </c>
      <c r="E217" s="41">
        <f>C217*D217</f>
        <v/>
      </c>
      <c r="F217" s="44" t="inlineStr"/>
    </row>
    <row r="218" ht="22" customHeight="1">
      <c r="A218" s="39" t="n">
        <v>46237</v>
      </c>
      <c r="B218" s="40" t="inlineStr">
        <is>
          <t>Monday</t>
        </is>
      </c>
      <c r="C218" s="41" t="n">
        <v>0</v>
      </c>
      <c r="D218" s="41" t="n">
        <v>0</v>
      </c>
      <c r="E218" s="41">
        <f>C218*D218</f>
        <v/>
      </c>
      <c r="F218" s="40" t="inlineStr"/>
    </row>
    <row r="219" ht="22" customHeight="1">
      <c r="A219" s="43" t="n">
        <v>46238</v>
      </c>
      <c r="B219" s="44" t="inlineStr">
        <is>
          <t>Tuesday</t>
        </is>
      </c>
      <c r="C219" s="41" t="n">
        <v>0</v>
      </c>
      <c r="D219" s="41" t="n">
        <v>0</v>
      </c>
      <c r="E219" s="41">
        <f>C219*D219</f>
        <v/>
      </c>
      <c r="F219" s="44" t="inlineStr"/>
    </row>
    <row r="220" ht="22" customHeight="1">
      <c r="A220" s="39" t="n">
        <v>46239</v>
      </c>
      <c r="B220" s="40" t="inlineStr">
        <is>
          <t>Wednesday</t>
        </is>
      </c>
      <c r="C220" s="41" t="n">
        <v>0</v>
      </c>
      <c r="D220" s="41" t="n">
        <v>0</v>
      </c>
      <c r="E220" s="41">
        <f>C220*D220</f>
        <v/>
      </c>
      <c r="F220" s="40" t="inlineStr"/>
    </row>
    <row r="221" ht="22" customHeight="1">
      <c r="A221" s="43" t="n">
        <v>46240</v>
      </c>
      <c r="B221" s="44" t="inlineStr">
        <is>
          <t>Thursday</t>
        </is>
      </c>
      <c r="C221" s="41" t="n">
        <v>0</v>
      </c>
      <c r="D221" s="41" t="n">
        <v>0</v>
      </c>
      <c r="E221" s="41">
        <f>C221*D221</f>
        <v/>
      </c>
      <c r="F221" s="44" t="inlineStr"/>
    </row>
    <row r="222" ht="22" customHeight="1">
      <c r="A222" s="39" t="n">
        <v>46241</v>
      </c>
      <c r="B222" s="40" t="inlineStr">
        <is>
          <t>Friday</t>
        </is>
      </c>
      <c r="C222" s="41" t="n">
        <v>0</v>
      </c>
      <c r="D222" s="41" t="n">
        <v>0</v>
      </c>
      <c r="E222" s="41">
        <f>C222*D222</f>
        <v/>
      </c>
      <c r="F222" s="40" t="inlineStr"/>
    </row>
    <row r="223" ht="22" customHeight="1">
      <c r="A223" s="43" t="n">
        <v>46242</v>
      </c>
      <c r="B223" s="44" t="inlineStr">
        <is>
          <t>Saturday</t>
        </is>
      </c>
      <c r="C223" s="41" t="n">
        <v>0</v>
      </c>
      <c r="D223" s="41" t="n">
        <v>0</v>
      </c>
      <c r="E223" s="41">
        <f>C223*D223</f>
        <v/>
      </c>
      <c r="F223" s="44" t="inlineStr"/>
    </row>
    <row r="224" ht="22" customHeight="1">
      <c r="A224" s="39" t="n">
        <v>46243</v>
      </c>
      <c r="B224" s="40" t="inlineStr">
        <is>
          <t>Sunday</t>
        </is>
      </c>
      <c r="C224" s="41" t="n">
        <v>0</v>
      </c>
      <c r="D224" s="41" t="n">
        <v>0</v>
      </c>
      <c r="E224" s="41">
        <f>C224*D224</f>
        <v/>
      </c>
      <c r="F224" s="40" t="inlineStr"/>
    </row>
    <row r="225" ht="22" customHeight="1">
      <c r="A225" s="43" t="n">
        <v>46244</v>
      </c>
      <c r="B225" s="44" t="inlineStr">
        <is>
          <t>Monday</t>
        </is>
      </c>
      <c r="C225" s="41" t="n">
        <v>0</v>
      </c>
      <c r="D225" s="41" t="n">
        <v>0</v>
      </c>
      <c r="E225" s="41">
        <f>C225*D225</f>
        <v/>
      </c>
      <c r="F225" s="44" t="inlineStr"/>
    </row>
    <row r="226" ht="22" customHeight="1">
      <c r="A226" s="39" t="n">
        <v>46245</v>
      </c>
      <c r="B226" s="40" t="inlineStr">
        <is>
          <t>Tuesday</t>
        </is>
      </c>
      <c r="C226" s="41" t="n">
        <v>0</v>
      </c>
      <c r="D226" s="41" t="n">
        <v>0</v>
      </c>
      <c r="E226" s="41">
        <f>C226*D226</f>
        <v/>
      </c>
      <c r="F226" s="40" t="inlineStr"/>
    </row>
    <row r="227" ht="22" customHeight="1">
      <c r="A227" s="43" t="n">
        <v>46246</v>
      </c>
      <c r="B227" s="44" t="inlineStr">
        <is>
          <t>Wednesday</t>
        </is>
      </c>
      <c r="C227" s="41" t="n">
        <v>0</v>
      </c>
      <c r="D227" s="41" t="n">
        <v>0</v>
      </c>
      <c r="E227" s="41">
        <f>C227*D227</f>
        <v/>
      </c>
      <c r="F227" s="44" t="inlineStr"/>
    </row>
    <row r="228" ht="22" customHeight="1">
      <c r="A228" s="39" t="n">
        <v>46247</v>
      </c>
      <c r="B228" s="40" t="inlineStr">
        <is>
          <t>Thursday</t>
        </is>
      </c>
      <c r="C228" s="41" t="n">
        <v>0</v>
      </c>
      <c r="D228" s="41" t="n">
        <v>0</v>
      </c>
      <c r="E228" s="41">
        <f>C228*D228</f>
        <v/>
      </c>
      <c r="F228" s="40" t="inlineStr"/>
    </row>
    <row r="229" ht="22" customHeight="1">
      <c r="A229" s="43" t="n">
        <v>46248</v>
      </c>
      <c r="B229" s="44" t="inlineStr">
        <is>
          <t>Friday</t>
        </is>
      </c>
      <c r="C229" s="41" t="n">
        <v>0</v>
      </c>
      <c r="D229" s="41" t="n">
        <v>0</v>
      </c>
      <c r="E229" s="41">
        <f>C229*D229</f>
        <v/>
      </c>
      <c r="F229" s="44" t="inlineStr"/>
    </row>
    <row r="230" ht="22" customHeight="1">
      <c r="A230" s="39" t="n">
        <v>46249</v>
      </c>
      <c r="B230" s="40" t="inlineStr">
        <is>
          <t>Saturday</t>
        </is>
      </c>
      <c r="C230" s="41" t="n">
        <v>0</v>
      </c>
      <c r="D230" s="41" t="n">
        <v>0</v>
      </c>
      <c r="E230" s="41">
        <f>C230*D230</f>
        <v/>
      </c>
      <c r="F230" s="40" t="inlineStr"/>
    </row>
    <row r="231" ht="22" customHeight="1">
      <c r="A231" s="43" t="n">
        <v>46250</v>
      </c>
      <c r="B231" s="44" t="inlineStr">
        <is>
          <t>Sunday</t>
        </is>
      </c>
      <c r="C231" s="41" t="n">
        <v>0</v>
      </c>
      <c r="D231" s="41" t="n">
        <v>0</v>
      </c>
      <c r="E231" s="41">
        <f>C231*D231</f>
        <v/>
      </c>
      <c r="F231" s="44" t="inlineStr"/>
    </row>
    <row r="232" ht="22" customHeight="1">
      <c r="A232" s="39" t="n">
        <v>46251</v>
      </c>
      <c r="B232" s="40" t="inlineStr">
        <is>
          <t>Monday</t>
        </is>
      </c>
      <c r="C232" s="41" t="n">
        <v>0</v>
      </c>
      <c r="D232" s="41" t="n">
        <v>0</v>
      </c>
      <c r="E232" s="41">
        <f>C232*D232</f>
        <v/>
      </c>
      <c r="F232" s="40" t="inlineStr"/>
    </row>
    <row r="233" ht="22" customHeight="1">
      <c r="A233" s="43" t="n">
        <v>46252</v>
      </c>
      <c r="B233" s="44" t="inlineStr">
        <is>
          <t>Tuesday</t>
        </is>
      </c>
      <c r="C233" s="41" t="n">
        <v>0</v>
      </c>
      <c r="D233" s="41" t="n">
        <v>0</v>
      </c>
      <c r="E233" s="41">
        <f>C233*D233</f>
        <v/>
      </c>
      <c r="F233" s="44" t="inlineStr"/>
    </row>
    <row r="234" ht="22" customHeight="1">
      <c r="A234" s="39" t="n">
        <v>46253</v>
      </c>
      <c r="B234" s="40" t="inlineStr">
        <is>
          <t>Wednesday</t>
        </is>
      </c>
      <c r="C234" s="41" t="n">
        <v>0</v>
      </c>
      <c r="D234" s="41" t="n">
        <v>0</v>
      </c>
      <c r="E234" s="41">
        <f>C234*D234</f>
        <v/>
      </c>
      <c r="F234" s="40" t="inlineStr"/>
    </row>
    <row r="235" ht="22" customHeight="1">
      <c r="A235" s="43" t="n">
        <v>46254</v>
      </c>
      <c r="B235" s="44" t="inlineStr">
        <is>
          <t>Thursday</t>
        </is>
      </c>
      <c r="C235" s="41" t="n">
        <v>0</v>
      </c>
      <c r="D235" s="41" t="n">
        <v>0</v>
      </c>
      <c r="E235" s="41">
        <f>C235*D235</f>
        <v/>
      </c>
      <c r="F235" s="44" t="inlineStr"/>
    </row>
    <row r="236" ht="22" customHeight="1">
      <c r="A236" s="39" t="n">
        <v>46255</v>
      </c>
      <c r="B236" s="40" t="inlineStr">
        <is>
          <t>Friday</t>
        </is>
      </c>
      <c r="C236" s="41" t="n">
        <v>0</v>
      </c>
      <c r="D236" s="41" t="n">
        <v>0</v>
      </c>
      <c r="E236" s="41">
        <f>C236*D236</f>
        <v/>
      </c>
      <c r="F236" s="40" t="inlineStr"/>
    </row>
    <row r="237" ht="22" customHeight="1">
      <c r="A237" s="43" t="n">
        <v>46256</v>
      </c>
      <c r="B237" s="44" t="inlineStr">
        <is>
          <t>Saturday</t>
        </is>
      </c>
      <c r="C237" s="41" t="n">
        <v>0</v>
      </c>
      <c r="D237" s="41" t="n">
        <v>0</v>
      </c>
      <c r="E237" s="41">
        <f>C237*D237</f>
        <v/>
      </c>
      <c r="F237" s="44" t="inlineStr"/>
    </row>
    <row r="238" ht="22" customHeight="1">
      <c r="A238" s="39" t="n">
        <v>46257</v>
      </c>
      <c r="B238" s="40" t="inlineStr">
        <is>
          <t>Sunday</t>
        </is>
      </c>
      <c r="C238" s="41" t="n">
        <v>0</v>
      </c>
      <c r="D238" s="41" t="n">
        <v>0</v>
      </c>
      <c r="E238" s="41">
        <f>C238*D238</f>
        <v/>
      </c>
      <c r="F238" s="40" t="inlineStr"/>
    </row>
    <row r="239" ht="22" customHeight="1">
      <c r="A239" s="43" t="n">
        <v>46258</v>
      </c>
      <c r="B239" s="44" t="inlineStr">
        <is>
          <t>Monday</t>
        </is>
      </c>
      <c r="C239" s="41" t="n">
        <v>0</v>
      </c>
      <c r="D239" s="41" t="n">
        <v>0</v>
      </c>
      <c r="E239" s="41">
        <f>C239*D239</f>
        <v/>
      </c>
      <c r="F239" s="44" t="inlineStr"/>
    </row>
    <row r="240" ht="22" customHeight="1">
      <c r="A240" s="39" t="n">
        <v>46259</v>
      </c>
      <c r="B240" s="40" t="inlineStr">
        <is>
          <t>Tuesday</t>
        </is>
      </c>
      <c r="C240" s="41" t="n">
        <v>0</v>
      </c>
      <c r="D240" s="41" t="n">
        <v>0</v>
      </c>
      <c r="E240" s="41">
        <f>C240*D240</f>
        <v/>
      </c>
      <c r="F240" s="40" t="inlineStr"/>
    </row>
    <row r="241" ht="22" customHeight="1">
      <c r="A241" s="43" t="n">
        <v>46260</v>
      </c>
      <c r="B241" s="44" t="inlineStr">
        <is>
          <t>Wednesday</t>
        </is>
      </c>
      <c r="C241" s="41" t="n">
        <v>0</v>
      </c>
      <c r="D241" s="41" t="n">
        <v>0</v>
      </c>
      <c r="E241" s="41">
        <f>C241*D241</f>
        <v/>
      </c>
      <c r="F241" s="44" t="inlineStr"/>
    </row>
    <row r="242" ht="22" customHeight="1">
      <c r="A242" s="39" t="n">
        <v>46261</v>
      </c>
      <c r="B242" s="40" t="inlineStr">
        <is>
          <t>Thursday</t>
        </is>
      </c>
      <c r="C242" s="41" t="n">
        <v>0</v>
      </c>
      <c r="D242" s="41" t="n">
        <v>0</v>
      </c>
      <c r="E242" s="41">
        <f>C242*D242</f>
        <v/>
      </c>
      <c r="F242" s="40" t="inlineStr"/>
    </row>
    <row r="243" ht="22" customHeight="1">
      <c r="A243" s="43" t="n">
        <v>46262</v>
      </c>
      <c r="B243" s="44" t="inlineStr">
        <is>
          <t>Friday</t>
        </is>
      </c>
      <c r="C243" s="41" t="n">
        <v>0</v>
      </c>
      <c r="D243" s="41" t="n">
        <v>0</v>
      </c>
      <c r="E243" s="41">
        <f>C243*D243</f>
        <v/>
      </c>
      <c r="F243" s="44" t="inlineStr"/>
    </row>
    <row r="244" ht="22" customHeight="1">
      <c r="A244" s="39" t="n">
        <v>46263</v>
      </c>
      <c r="B244" s="40" t="inlineStr">
        <is>
          <t>Saturday</t>
        </is>
      </c>
      <c r="C244" s="41" t="n">
        <v>0</v>
      </c>
      <c r="D244" s="41" t="n">
        <v>0</v>
      </c>
      <c r="E244" s="41">
        <f>C244*D244</f>
        <v/>
      </c>
      <c r="F244" s="40" t="inlineStr"/>
    </row>
    <row r="245" ht="22" customHeight="1">
      <c r="A245" s="43" t="n">
        <v>46264</v>
      </c>
      <c r="B245" s="44" t="inlineStr">
        <is>
          <t>Sunday</t>
        </is>
      </c>
      <c r="C245" s="41" t="n">
        <v>0</v>
      </c>
      <c r="D245" s="41" t="n">
        <v>0</v>
      </c>
      <c r="E245" s="41">
        <f>C245*D245</f>
        <v/>
      </c>
      <c r="F245" s="44" t="inlineStr"/>
    </row>
    <row r="246" ht="22" customHeight="1">
      <c r="A246" s="39" t="n">
        <v>46265</v>
      </c>
      <c r="B246" s="40" t="inlineStr">
        <is>
          <t>Monday</t>
        </is>
      </c>
      <c r="C246" s="41" t="n">
        <v>0</v>
      </c>
      <c r="D246" s="41" t="n">
        <v>0</v>
      </c>
      <c r="E246" s="41">
        <f>C246*D246</f>
        <v/>
      </c>
      <c r="F246" s="40" t="inlineStr"/>
    </row>
    <row r="247" ht="22" customHeight="1">
      <c r="A247" s="43" t="n">
        <v>46266</v>
      </c>
      <c r="B247" s="44" t="inlineStr">
        <is>
          <t>Tuesday</t>
        </is>
      </c>
      <c r="C247" s="41" t="n">
        <v>0</v>
      </c>
      <c r="D247" s="41" t="n">
        <v>0</v>
      </c>
      <c r="E247" s="41">
        <f>C247*D247</f>
        <v/>
      </c>
      <c r="F247" s="44" t="inlineStr"/>
    </row>
    <row r="248" ht="22" customHeight="1">
      <c r="A248" s="39" t="n">
        <v>46267</v>
      </c>
      <c r="B248" s="40" t="inlineStr">
        <is>
          <t>Wednesday</t>
        </is>
      </c>
      <c r="C248" s="41" t="n">
        <v>0</v>
      </c>
      <c r="D248" s="41" t="n">
        <v>0</v>
      </c>
      <c r="E248" s="41">
        <f>C248*D248</f>
        <v/>
      </c>
      <c r="F248" s="40" t="inlineStr"/>
    </row>
    <row r="249" ht="22" customHeight="1">
      <c r="A249" s="43" t="n">
        <v>46268</v>
      </c>
      <c r="B249" s="44" t="inlineStr">
        <is>
          <t>Thursday</t>
        </is>
      </c>
      <c r="C249" s="41" t="n">
        <v>0</v>
      </c>
      <c r="D249" s="41" t="n">
        <v>0</v>
      </c>
      <c r="E249" s="41">
        <f>C249*D249</f>
        <v/>
      </c>
      <c r="F249" s="44" t="inlineStr"/>
    </row>
    <row r="250" ht="22" customHeight="1">
      <c r="A250" s="39" t="n">
        <v>46269</v>
      </c>
      <c r="B250" s="40" t="inlineStr">
        <is>
          <t>Friday</t>
        </is>
      </c>
      <c r="C250" s="41" t="n">
        <v>0</v>
      </c>
      <c r="D250" s="41" t="n">
        <v>0</v>
      </c>
      <c r="E250" s="41">
        <f>C250*D250</f>
        <v/>
      </c>
      <c r="F250" s="40" t="inlineStr"/>
    </row>
    <row r="251" ht="22" customHeight="1">
      <c r="A251" s="43" t="n">
        <v>46270</v>
      </c>
      <c r="B251" s="44" t="inlineStr">
        <is>
          <t>Saturday</t>
        </is>
      </c>
      <c r="C251" s="41" t="n">
        <v>0</v>
      </c>
      <c r="D251" s="41" t="n">
        <v>0</v>
      </c>
      <c r="E251" s="41">
        <f>C251*D251</f>
        <v/>
      </c>
      <c r="F251" s="44" t="inlineStr"/>
    </row>
    <row r="252" ht="22" customHeight="1">
      <c r="A252" s="39" t="n">
        <v>46271</v>
      </c>
      <c r="B252" s="40" t="inlineStr">
        <is>
          <t>Sunday</t>
        </is>
      </c>
      <c r="C252" s="41" t="n">
        <v>0</v>
      </c>
      <c r="D252" s="41" t="n">
        <v>0</v>
      </c>
      <c r="E252" s="41">
        <f>C252*D252</f>
        <v/>
      </c>
      <c r="F252" s="40" t="inlineStr"/>
    </row>
    <row r="253" ht="22" customHeight="1">
      <c r="A253" s="43" t="n">
        <v>46272</v>
      </c>
      <c r="B253" s="44" t="inlineStr">
        <is>
          <t>Monday</t>
        </is>
      </c>
      <c r="C253" s="41" t="n">
        <v>0</v>
      </c>
      <c r="D253" s="41" t="n">
        <v>0</v>
      </c>
      <c r="E253" s="41">
        <f>C253*D253</f>
        <v/>
      </c>
      <c r="F253" s="44" t="inlineStr"/>
    </row>
    <row r="254" ht="22" customHeight="1">
      <c r="A254" s="39" t="n">
        <v>46273</v>
      </c>
      <c r="B254" s="40" t="inlineStr">
        <is>
          <t>Tuesday</t>
        </is>
      </c>
      <c r="C254" s="41" t="n">
        <v>0</v>
      </c>
      <c r="D254" s="41" t="n">
        <v>0</v>
      </c>
      <c r="E254" s="41">
        <f>C254*D254</f>
        <v/>
      </c>
      <c r="F254" s="40" t="inlineStr"/>
    </row>
    <row r="255" ht="22" customHeight="1">
      <c r="A255" s="43" t="n">
        <v>46274</v>
      </c>
      <c r="B255" s="44" t="inlineStr">
        <is>
          <t>Wednesday</t>
        </is>
      </c>
      <c r="C255" s="41" t="n">
        <v>0</v>
      </c>
      <c r="D255" s="41" t="n">
        <v>0</v>
      </c>
      <c r="E255" s="41">
        <f>C255*D255</f>
        <v/>
      </c>
      <c r="F255" s="44" t="inlineStr"/>
    </row>
    <row r="256" ht="22" customHeight="1">
      <c r="A256" s="39" t="n">
        <v>46275</v>
      </c>
      <c r="B256" s="40" t="inlineStr">
        <is>
          <t>Thursday</t>
        </is>
      </c>
      <c r="C256" s="41" t="n">
        <v>0</v>
      </c>
      <c r="D256" s="41" t="n">
        <v>0</v>
      </c>
      <c r="E256" s="41">
        <f>C256*D256</f>
        <v/>
      </c>
      <c r="F256" s="40" t="inlineStr"/>
    </row>
    <row r="257" ht="22" customHeight="1">
      <c r="A257" s="43" t="n">
        <v>46276</v>
      </c>
      <c r="B257" s="44" t="inlineStr">
        <is>
          <t>Friday</t>
        </is>
      </c>
      <c r="C257" s="41" t="n">
        <v>0</v>
      </c>
      <c r="D257" s="41" t="n">
        <v>0</v>
      </c>
      <c r="E257" s="41">
        <f>C257*D257</f>
        <v/>
      </c>
      <c r="F257" s="44" t="inlineStr"/>
    </row>
    <row r="258" ht="22" customHeight="1">
      <c r="A258" s="39" t="n">
        <v>46277</v>
      </c>
      <c r="B258" s="40" t="inlineStr">
        <is>
          <t>Saturday</t>
        </is>
      </c>
      <c r="C258" s="41" t="n">
        <v>0</v>
      </c>
      <c r="D258" s="41" t="n">
        <v>0</v>
      </c>
      <c r="E258" s="41">
        <f>C258*D258</f>
        <v/>
      </c>
      <c r="F258" s="40" t="inlineStr"/>
    </row>
    <row r="259" ht="22" customHeight="1">
      <c r="A259" s="43" t="n">
        <v>46278</v>
      </c>
      <c r="B259" s="44" t="inlineStr">
        <is>
          <t>Sunday</t>
        </is>
      </c>
      <c r="C259" s="41" t="n">
        <v>0</v>
      </c>
      <c r="D259" s="41" t="n">
        <v>0</v>
      </c>
      <c r="E259" s="41">
        <f>C259*D259</f>
        <v/>
      </c>
      <c r="F259" s="44" t="inlineStr"/>
    </row>
    <row r="260" ht="22" customHeight="1">
      <c r="A260" s="39" t="n">
        <v>46279</v>
      </c>
      <c r="B260" s="40" t="inlineStr">
        <is>
          <t>Monday</t>
        </is>
      </c>
      <c r="C260" s="41" t="n">
        <v>0</v>
      </c>
      <c r="D260" s="41" t="n">
        <v>0</v>
      </c>
      <c r="E260" s="41">
        <f>C260*D260</f>
        <v/>
      </c>
      <c r="F260" s="40" t="inlineStr"/>
    </row>
    <row r="261" ht="22" customHeight="1">
      <c r="A261" s="43" t="n">
        <v>46280</v>
      </c>
      <c r="B261" s="44" t="inlineStr">
        <is>
          <t>Tuesday</t>
        </is>
      </c>
      <c r="C261" s="41" t="n">
        <v>0</v>
      </c>
      <c r="D261" s="41" t="n">
        <v>0</v>
      </c>
      <c r="E261" s="41">
        <f>C261*D261</f>
        <v/>
      </c>
      <c r="F261" s="44" t="inlineStr"/>
    </row>
    <row r="262" ht="22" customHeight="1">
      <c r="A262" s="39" t="n">
        <v>46281</v>
      </c>
      <c r="B262" s="40" t="inlineStr">
        <is>
          <t>Wednesday</t>
        </is>
      </c>
      <c r="C262" s="41" t="n">
        <v>0</v>
      </c>
      <c r="D262" s="41" t="n">
        <v>0</v>
      </c>
      <c r="E262" s="41">
        <f>C262*D262</f>
        <v/>
      </c>
      <c r="F262" s="40" t="inlineStr"/>
    </row>
    <row r="263" ht="22" customHeight="1">
      <c r="A263" s="43" t="n">
        <v>46282</v>
      </c>
      <c r="B263" s="44" t="inlineStr">
        <is>
          <t>Thursday</t>
        </is>
      </c>
      <c r="C263" s="41" t="n">
        <v>0</v>
      </c>
      <c r="D263" s="41" t="n">
        <v>0</v>
      </c>
      <c r="E263" s="41">
        <f>C263*D263</f>
        <v/>
      </c>
      <c r="F263" s="44" t="inlineStr"/>
    </row>
    <row r="264" ht="22" customHeight="1">
      <c r="A264" s="39" t="n">
        <v>46283</v>
      </c>
      <c r="B264" s="40" t="inlineStr">
        <is>
          <t>Friday</t>
        </is>
      </c>
      <c r="C264" s="41" t="n">
        <v>0</v>
      </c>
      <c r="D264" s="41" t="n">
        <v>0</v>
      </c>
      <c r="E264" s="41">
        <f>C264*D264</f>
        <v/>
      </c>
      <c r="F264" s="40" t="inlineStr"/>
    </row>
    <row r="265" ht="22" customHeight="1">
      <c r="A265" s="43" t="n">
        <v>46284</v>
      </c>
      <c r="B265" s="44" t="inlineStr">
        <is>
          <t>Saturday</t>
        </is>
      </c>
      <c r="C265" s="41" t="n">
        <v>0</v>
      </c>
      <c r="D265" s="41" t="n">
        <v>0</v>
      </c>
      <c r="E265" s="41">
        <f>C265*D265</f>
        <v/>
      </c>
      <c r="F265" s="44" t="inlineStr"/>
    </row>
    <row r="266" ht="22" customHeight="1">
      <c r="A266" s="39" t="n">
        <v>46285</v>
      </c>
      <c r="B266" s="40" t="inlineStr">
        <is>
          <t>Sunday</t>
        </is>
      </c>
      <c r="C266" s="41" t="n">
        <v>0</v>
      </c>
      <c r="D266" s="41" t="n">
        <v>0</v>
      </c>
      <c r="E266" s="41">
        <f>C266*D266</f>
        <v/>
      </c>
      <c r="F266" s="40" t="inlineStr"/>
    </row>
    <row r="267" ht="22" customHeight="1">
      <c r="A267" s="43" t="n">
        <v>46286</v>
      </c>
      <c r="B267" s="44" t="inlineStr">
        <is>
          <t>Monday</t>
        </is>
      </c>
      <c r="C267" s="41" t="n">
        <v>0</v>
      </c>
      <c r="D267" s="41" t="n">
        <v>0</v>
      </c>
      <c r="E267" s="41">
        <f>C267*D267</f>
        <v/>
      </c>
      <c r="F267" s="44" t="inlineStr"/>
    </row>
    <row r="268" ht="22" customHeight="1">
      <c r="A268" s="39" t="n">
        <v>46287</v>
      </c>
      <c r="B268" s="40" t="inlineStr">
        <is>
          <t>Tuesday</t>
        </is>
      </c>
      <c r="C268" s="41" t="n">
        <v>0</v>
      </c>
      <c r="D268" s="41" t="n">
        <v>0</v>
      </c>
      <c r="E268" s="41">
        <f>C268*D268</f>
        <v/>
      </c>
      <c r="F268" s="40" t="inlineStr"/>
    </row>
    <row r="269" ht="22" customHeight="1">
      <c r="A269" s="43" t="n">
        <v>46288</v>
      </c>
      <c r="B269" s="44" t="inlineStr">
        <is>
          <t>Wednesday</t>
        </is>
      </c>
      <c r="C269" s="41" t="n">
        <v>0</v>
      </c>
      <c r="D269" s="41" t="n">
        <v>0</v>
      </c>
      <c r="E269" s="41">
        <f>C269*D269</f>
        <v/>
      </c>
      <c r="F269" s="44" t="inlineStr"/>
    </row>
    <row r="270" ht="22" customHeight="1">
      <c r="A270" s="39" t="n">
        <v>46289</v>
      </c>
      <c r="B270" s="40" t="inlineStr">
        <is>
          <t>Thursday</t>
        </is>
      </c>
      <c r="C270" s="41" t="n">
        <v>0</v>
      </c>
      <c r="D270" s="41" t="n">
        <v>0</v>
      </c>
      <c r="E270" s="41">
        <f>C270*D270</f>
        <v/>
      </c>
      <c r="F270" s="40" t="inlineStr"/>
    </row>
    <row r="271" ht="22" customHeight="1">
      <c r="A271" s="43" t="n">
        <v>46290</v>
      </c>
      <c r="B271" s="44" t="inlineStr">
        <is>
          <t>Friday</t>
        </is>
      </c>
      <c r="C271" s="41" t="n">
        <v>0</v>
      </c>
      <c r="D271" s="41" t="n">
        <v>0</v>
      </c>
      <c r="E271" s="41">
        <f>C271*D271</f>
        <v/>
      </c>
      <c r="F271" s="44" t="inlineStr"/>
    </row>
    <row r="272" ht="22" customHeight="1">
      <c r="A272" s="39" t="n">
        <v>46291</v>
      </c>
      <c r="B272" s="40" t="inlineStr">
        <is>
          <t>Saturday</t>
        </is>
      </c>
      <c r="C272" s="41" t="n">
        <v>0</v>
      </c>
      <c r="D272" s="41" t="n">
        <v>0</v>
      </c>
      <c r="E272" s="41">
        <f>C272*D272</f>
        <v/>
      </c>
      <c r="F272" s="40" t="inlineStr"/>
    </row>
    <row r="273" ht="22" customHeight="1">
      <c r="A273" s="43" t="n">
        <v>46292</v>
      </c>
      <c r="B273" s="44" t="inlineStr">
        <is>
          <t>Sunday</t>
        </is>
      </c>
      <c r="C273" s="41" t="n">
        <v>0</v>
      </c>
      <c r="D273" s="41" t="n">
        <v>0</v>
      </c>
      <c r="E273" s="41">
        <f>C273*D273</f>
        <v/>
      </c>
      <c r="F273" s="44" t="inlineStr"/>
    </row>
    <row r="274" ht="22" customHeight="1">
      <c r="A274" s="39" t="n">
        <v>46293</v>
      </c>
      <c r="B274" s="40" t="inlineStr">
        <is>
          <t>Monday</t>
        </is>
      </c>
      <c r="C274" s="41" t="n">
        <v>0</v>
      </c>
      <c r="D274" s="41" t="n">
        <v>0</v>
      </c>
      <c r="E274" s="41">
        <f>C274*D274</f>
        <v/>
      </c>
      <c r="F274" s="40" t="inlineStr"/>
    </row>
    <row r="275" ht="22" customHeight="1">
      <c r="A275" s="43" t="n">
        <v>46294</v>
      </c>
      <c r="B275" s="44" t="inlineStr">
        <is>
          <t>Tuesday</t>
        </is>
      </c>
      <c r="C275" s="41" t="n">
        <v>0</v>
      </c>
      <c r="D275" s="41" t="n">
        <v>0</v>
      </c>
      <c r="E275" s="41">
        <f>C275*D275</f>
        <v/>
      </c>
      <c r="F275" s="44" t="inlineStr"/>
    </row>
    <row r="276" ht="22" customHeight="1">
      <c r="A276" s="39" t="n">
        <v>46295</v>
      </c>
      <c r="B276" s="40" t="inlineStr">
        <is>
          <t>Wednesday</t>
        </is>
      </c>
      <c r="C276" s="41" t="n">
        <v>0</v>
      </c>
      <c r="D276" s="41" t="n">
        <v>0</v>
      </c>
      <c r="E276" s="41">
        <f>C276*D276</f>
        <v/>
      </c>
      <c r="F276" s="40" t="inlineStr"/>
    </row>
    <row r="277" ht="22" customHeight="1">
      <c r="A277" s="43" t="n">
        <v>46296</v>
      </c>
      <c r="B277" s="44" t="inlineStr">
        <is>
          <t>Thursday</t>
        </is>
      </c>
      <c r="C277" s="41" t="n">
        <v>0</v>
      </c>
      <c r="D277" s="41" t="n">
        <v>0</v>
      </c>
      <c r="E277" s="41">
        <f>C277*D277</f>
        <v/>
      </c>
      <c r="F277" s="44" t="inlineStr"/>
    </row>
    <row r="278" ht="22" customHeight="1">
      <c r="A278" s="39" t="n">
        <v>46297</v>
      </c>
      <c r="B278" s="40" t="inlineStr">
        <is>
          <t>Friday</t>
        </is>
      </c>
      <c r="C278" s="41" t="n">
        <v>0</v>
      </c>
      <c r="D278" s="41" t="n">
        <v>0</v>
      </c>
      <c r="E278" s="41">
        <f>C278*D278</f>
        <v/>
      </c>
      <c r="F278" s="40" t="inlineStr"/>
    </row>
    <row r="279" ht="22" customHeight="1">
      <c r="A279" s="43" t="n">
        <v>46298</v>
      </c>
      <c r="B279" s="44" t="inlineStr">
        <is>
          <t>Saturday</t>
        </is>
      </c>
      <c r="C279" s="41" t="n">
        <v>0</v>
      </c>
      <c r="D279" s="41" t="n">
        <v>0</v>
      </c>
      <c r="E279" s="41">
        <f>C279*D279</f>
        <v/>
      </c>
      <c r="F279" s="44" t="inlineStr"/>
    </row>
    <row r="280" ht="22" customHeight="1">
      <c r="A280" s="39" t="n">
        <v>46299</v>
      </c>
      <c r="B280" s="40" t="inlineStr">
        <is>
          <t>Sunday</t>
        </is>
      </c>
      <c r="C280" s="41" t="n">
        <v>0</v>
      </c>
      <c r="D280" s="41" t="n">
        <v>0</v>
      </c>
      <c r="E280" s="41">
        <f>C280*D280</f>
        <v/>
      </c>
      <c r="F280" s="40" t="inlineStr"/>
    </row>
    <row r="281" ht="22" customHeight="1">
      <c r="A281" s="43" t="n">
        <v>46300</v>
      </c>
      <c r="B281" s="44" t="inlineStr">
        <is>
          <t>Monday</t>
        </is>
      </c>
      <c r="C281" s="41" t="n">
        <v>0</v>
      </c>
      <c r="D281" s="41" t="n">
        <v>0</v>
      </c>
      <c r="E281" s="41">
        <f>C281*D281</f>
        <v/>
      </c>
      <c r="F281" s="44" t="inlineStr"/>
    </row>
    <row r="282" ht="22" customHeight="1">
      <c r="A282" s="39" t="n">
        <v>46301</v>
      </c>
      <c r="B282" s="40" t="inlineStr">
        <is>
          <t>Tuesday</t>
        </is>
      </c>
      <c r="C282" s="41" t="n">
        <v>0</v>
      </c>
      <c r="D282" s="41" t="n">
        <v>0</v>
      </c>
      <c r="E282" s="41">
        <f>C282*D282</f>
        <v/>
      </c>
      <c r="F282" s="40" t="inlineStr"/>
    </row>
    <row r="283" ht="22" customHeight="1">
      <c r="A283" s="43" t="n">
        <v>46302</v>
      </c>
      <c r="B283" s="44" t="inlineStr">
        <is>
          <t>Wednesday</t>
        </is>
      </c>
      <c r="C283" s="41" t="n">
        <v>0</v>
      </c>
      <c r="D283" s="41" t="n">
        <v>0</v>
      </c>
      <c r="E283" s="41">
        <f>C283*D283</f>
        <v/>
      </c>
      <c r="F283" s="44" t="inlineStr"/>
    </row>
    <row r="284" ht="22" customHeight="1">
      <c r="A284" s="39" t="n">
        <v>46303</v>
      </c>
      <c r="B284" s="40" t="inlineStr">
        <is>
          <t>Thursday</t>
        </is>
      </c>
      <c r="C284" s="41" t="n">
        <v>0</v>
      </c>
      <c r="D284" s="41" t="n">
        <v>0</v>
      </c>
      <c r="E284" s="41">
        <f>C284*D284</f>
        <v/>
      </c>
      <c r="F284" s="40" t="inlineStr"/>
    </row>
    <row r="285" ht="22" customHeight="1">
      <c r="A285" s="43" t="n">
        <v>46304</v>
      </c>
      <c r="B285" s="44" t="inlineStr">
        <is>
          <t>Friday</t>
        </is>
      </c>
      <c r="C285" s="41" t="n">
        <v>0</v>
      </c>
      <c r="D285" s="41" t="n">
        <v>0</v>
      </c>
      <c r="E285" s="41">
        <f>C285*D285</f>
        <v/>
      </c>
      <c r="F285" s="44" t="inlineStr"/>
    </row>
    <row r="286" ht="22" customHeight="1">
      <c r="A286" s="39" t="n">
        <v>46305</v>
      </c>
      <c r="B286" s="40" t="inlineStr">
        <is>
          <t>Saturday</t>
        </is>
      </c>
      <c r="C286" s="41" t="n">
        <v>0</v>
      </c>
      <c r="D286" s="41" t="n">
        <v>0</v>
      </c>
      <c r="E286" s="41">
        <f>C286*D286</f>
        <v/>
      </c>
      <c r="F286" s="40" t="inlineStr"/>
    </row>
    <row r="287" ht="22" customHeight="1">
      <c r="A287" s="43" t="n">
        <v>46306</v>
      </c>
      <c r="B287" s="44" t="inlineStr">
        <is>
          <t>Sunday</t>
        </is>
      </c>
      <c r="C287" s="41" t="n">
        <v>0</v>
      </c>
      <c r="D287" s="41" t="n">
        <v>0</v>
      </c>
      <c r="E287" s="41">
        <f>C287*D287</f>
        <v/>
      </c>
      <c r="F287" s="44" t="inlineStr"/>
    </row>
    <row r="288" ht="22" customHeight="1">
      <c r="A288" s="39" t="n">
        <v>46307</v>
      </c>
      <c r="B288" s="40" t="inlineStr">
        <is>
          <t>Monday</t>
        </is>
      </c>
      <c r="C288" s="41" t="n">
        <v>0</v>
      </c>
      <c r="D288" s="41" t="n">
        <v>0</v>
      </c>
      <c r="E288" s="41">
        <f>C288*D288</f>
        <v/>
      </c>
      <c r="F288" s="40" t="inlineStr"/>
    </row>
    <row r="289" ht="22" customHeight="1">
      <c r="A289" s="43" t="n">
        <v>46308</v>
      </c>
      <c r="B289" s="44" t="inlineStr">
        <is>
          <t>Tuesday</t>
        </is>
      </c>
      <c r="C289" s="41" t="n">
        <v>0</v>
      </c>
      <c r="D289" s="41" t="n">
        <v>0</v>
      </c>
      <c r="E289" s="41">
        <f>C289*D289</f>
        <v/>
      </c>
      <c r="F289" s="44" t="inlineStr"/>
    </row>
    <row r="290" ht="22" customHeight="1">
      <c r="A290" s="39" t="n">
        <v>46309</v>
      </c>
      <c r="B290" s="40" t="inlineStr">
        <is>
          <t>Wednesday</t>
        </is>
      </c>
      <c r="C290" s="41" t="n">
        <v>0</v>
      </c>
      <c r="D290" s="41" t="n">
        <v>0</v>
      </c>
      <c r="E290" s="41">
        <f>C290*D290</f>
        <v/>
      </c>
      <c r="F290" s="40" t="inlineStr"/>
    </row>
    <row r="291" ht="22" customHeight="1">
      <c r="A291" s="43" t="n">
        <v>46310</v>
      </c>
      <c r="B291" s="44" t="inlineStr">
        <is>
          <t>Thursday</t>
        </is>
      </c>
      <c r="C291" s="41" t="n">
        <v>0</v>
      </c>
      <c r="D291" s="41" t="n">
        <v>0</v>
      </c>
      <c r="E291" s="41">
        <f>C291*D291</f>
        <v/>
      </c>
      <c r="F291" s="44" t="inlineStr"/>
    </row>
    <row r="292" ht="22" customHeight="1">
      <c r="A292" s="39" t="n">
        <v>46311</v>
      </c>
      <c r="B292" s="40" t="inlineStr">
        <is>
          <t>Friday</t>
        </is>
      </c>
      <c r="C292" s="41" t="n">
        <v>0</v>
      </c>
      <c r="D292" s="41" t="n">
        <v>0</v>
      </c>
      <c r="E292" s="41">
        <f>C292*D292</f>
        <v/>
      </c>
      <c r="F292" s="40" t="inlineStr"/>
    </row>
    <row r="293" ht="22" customHeight="1">
      <c r="A293" s="43" t="n">
        <v>46312</v>
      </c>
      <c r="B293" s="44" t="inlineStr">
        <is>
          <t>Saturday</t>
        </is>
      </c>
      <c r="C293" s="41" t="n">
        <v>0</v>
      </c>
      <c r="D293" s="41" t="n">
        <v>0</v>
      </c>
      <c r="E293" s="41">
        <f>C293*D293</f>
        <v/>
      </c>
      <c r="F293" s="44" t="inlineStr"/>
    </row>
    <row r="294" ht="22" customHeight="1">
      <c r="A294" s="39" t="n">
        <v>46313</v>
      </c>
      <c r="B294" s="40" t="inlineStr">
        <is>
          <t>Sunday</t>
        </is>
      </c>
      <c r="C294" s="41" t="n">
        <v>0</v>
      </c>
      <c r="D294" s="41" t="n">
        <v>0</v>
      </c>
      <c r="E294" s="41">
        <f>C294*D294</f>
        <v/>
      </c>
      <c r="F294" s="40" t="inlineStr"/>
    </row>
    <row r="295" ht="22" customHeight="1">
      <c r="A295" s="43" t="n">
        <v>46314</v>
      </c>
      <c r="B295" s="44" t="inlineStr">
        <is>
          <t>Monday</t>
        </is>
      </c>
      <c r="C295" s="41" t="n">
        <v>0</v>
      </c>
      <c r="D295" s="41" t="n">
        <v>0</v>
      </c>
      <c r="E295" s="41">
        <f>C295*D295</f>
        <v/>
      </c>
      <c r="F295" s="44" t="inlineStr"/>
    </row>
    <row r="296" ht="22" customHeight="1">
      <c r="A296" s="39" t="n">
        <v>46315</v>
      </c>
      <c r="B296" s="40" t="inlineStr">
        <is>
          <t>Tuesday</t>
        </is>
      </c>
      <c r="C296" s="41" t="n">
        <v>0</v>
      </c>
      <c r="D296" s="41" t="n">
        <v>0</v>
      </c>
      <c r="E296" s="41">
        <f>C296*D296</f>
        <v/>
      </c>
      <c r="F296" s="40" t="inlineStr"/>
    </row>
    <row r="297" ht="22" customHeight="1">
      <c r="A297" s="43" t="n">
        <v>46316</v>
      </c>
      <c r="B297" s="44" t="inlineStr">
        <is>
          <t>Wednesday</t>
        </is>
      </c>
      <c r="C297" s="41" t="n">
        <v>0</v>
      </c>
      <c r="D297" s="41" t="n">
        <v>0</v>
      </c>
      <c r="E297" s="41">
        <f>C297*D297</f>
        <v/>
      </c>
      <c r="F297" s="44" t="inlineStr"/>
    </row>
    <row r="298" ht="22" customHeight="1">
      <c r="A298" s="39" t="n">
        <v>46317</v>
      </c>
      <c r="B298" s="40" t="inlineStr">
        <is>
          <t>Thursday</t>
        </is>
      </c>
      <c r="C298" s="41" t="n">
        <v>0</v>
      </c>
      <c r="D298" s="41" t="n">
        <v>0</v>
      </c>
      <c r="E298" s="41">
        <f>C298*D298</f>
        <v/>
      </c>
      <c r="F298" s="40" t="inlineStr"/>
    </row>
    <row r="299" ht="22" customHeight="1">
      <c r="A299" s="43" t="n">
        <v>46318</v>
      </c>
      <c r="B299" s="44" t="inlineStr">
        <is>
          <t>Friday</t>
        </is>
      </c>
      <c r="C299" s="41" t="n">
        <v>0</v>
      </c>
      <c r="D299" s="41" t="n">
        <v>0</v>
      </c>
      <c r="E299" s="41">
        <f>C299*D299</f>
        <v/>
      </c>
      <c r="F299" s="44" t="inlineStr"/>
    </row>
    <row r="300" ht="22" customHeight="1">
      <c r="A300" s="39" t="n">
        <v>46319</v>
      </c>
      <c r="B300" s="40" t="inlineStr">
        <is>
          <t>Saturday</t>
        </is>
      </c>
      <c r="C300" s="41" t="n">
        <v>0</v>
      </c>
      <c r="D300" s="41" t="n">
        <v>0</v>
      </c>
      <c r="E300" s="41">
        <f>C300*D300</f>
        <v/>
      </c>
      <c r="F300" s="40" t="inlineStr"/>
    </row>
    <row r="301" ht="22" customHeight="1">
      <c r="A301" s="43" t="n">
        <v>46320</v>
      </c>
      <c r="B301" s="44" t="inlineStr">
        <is>
          <t>Sunday</t>
        </is>
      </c>
      <c r="C301" s="41" t="n">
        <v>0</v>
      </c>
      <c r="D301" s="41" t="n">
        <v>0</v>
      </c>
      <c r="E301" s="41">
        <f>C301*D301</f>
        <v/>
      </c>
      <c r="F301" s="44" t="inlineStr"/>
    </row>
    <row r="302" ht="22" customHeight="1">
      <c r="A302" s="39" t="n">
        <v>46321</v>
      </c>
      <c r="B302" s="40" t="inlineStr">
        <is>
          <t>Monday</t>
        </is>
      </c>
      <c r="C302" s="41" t="n">
        <v>0</v>
      </c>
      <c r="D302" s="41" t="n">
        <v>0</v>
      </c>
      <c r="E302" s="41">
        <f>C302*D302</f>
        <v/>
      </c>
      <c r="F302" s="40" t="inlineStr"/>
    </row>
    <row r="303" ht="22" customHeight="1">
      <c r="A303" s="43" t="n">
        <v>46322</v>
      </c>
      <c r="B303" s="44" t="inlineStr">
        <is>
          <t>Tuesday</t>
        </is>
      </c>
      <c r="C303" s="41" t="n">
        <v>0</v>
      </c>
      <c r="D303" s="41" t="n">
        <v>0</v>
      </c>
      <c r="E303" s="41">
        <f>C303*D303</f>
        <v/>
      </c>
      <c r="F303" s="44" t="inlineStr"/>
    </row>
    <row r="304" ht="22" customHeight="1">
      <c r="A304" s="39" t="n">
        <v>46323</v>
      </c>
      <c r="B304" s="40" t="inlineStr">
        <is>
          <t>Wednesday</t>
        </is>
      </c>
      <c r="C304" s="41" t="n">
        <v>0</v>
      </c>
      <c r="D304" s="41" t="n">
        <v>0</v>
      </c>
      <c r="E304" s="41">
        <f>C304*D304</f>
        <v/>
      </c>
      <c r="F304" s="40" t="inlineStr"/>
    </row>
    <row r="305" ht="22" customHeight="1">
      <c r="A305" s="43" t="n">
        <v>46324</v>
      </c>
      <c r="B305" s="44" t="inlineStr">
        <is>
          <t>Thursday</t>
        </is>
      </c>
      <c r="C305" s="41" t="n">
        <v>0</v>
      </c>
      <c r="D305" s="41" t="n">
        <v>0</v>
      </c>
      <c r="E305" s="41">
        <f>C305*D305</f>
        <v/>
      </c>
      <c r="F305" s="44" t="inlineStr"/>
    </row>
    <row r="306" ht="22" customHeight="1">
      <c r="A306" s="39" t="n">
        <v>46325</v>
      </c>
      <c r="B306" s="40" t="inlineStr">
        <is>
          <t>Friday</t>
        </is>
      </c>
      <c r="C306" s="41" t="n">
        <v>0</v>
      </c>
      <c r="D306" s="41" t="n">
        <v>0</v>
      </c>
      <c r="E306" s="41">
        <f>C306*D306</f>
        <v/>
      </c>
      <c r="F306" s="40" t="inlineStr"/>
    </row>
    <row r="307" ht="22" customHeight="1">
      <c r="A307" s="43" t="n">
        <v>46326</v>
      </c>
      <c r="B307" s="44" t="inlineStr">
        <is>
          <t>Saturday</t>
        </is>
      </c>
      <c r="C307" s="41" t="n">
        <v>0</v>
      </c>
      <c r="D307" s="41" t="n">
        <v>0</v>
      </c>
      <c r="E307" s="41">
        <f>C307*D307</f>
        <v/>
      </c>
      <c r="F307" s="44" t="inlineStr"/>
    </row>
    <row r="308" ht="22" customHeight="1">
      <c r="A308" s="39" t="n">
        <v>46327</v>
      </c>
      <c r="B308" s="40" t="inlineStr">
        <is>
          <t>Sunday</t>
        </is>
      </c>
      <c r="C308" s="41" t="n">
        <v>0</v>
      </c>
      <c r="D308" s="41" t="n">
        <v>0</v>
      </c>
      <c r="E308" s="41">
        <f>C308*D308</f>
        <v/>
      </c>
      <c r="F308" s="40" t="inlineStr"/>
    </row>
    <row r="309" ht="22" customHeight="1">
      <c r="A309" s="43" t="n">
        <v>46328</v>
      </c>
      <c r="B309" s="44" t="inlineStr">
        <is>
          <t>Monday</t>
        </is>
      </c>
      <c r="C309" s="41" t="n">
        <v>0</v>
      </c>
      <c r="D309" s="41" t="n">
        <v>0</v>
      </c>
      <c r="E309" s="41">
        <f>C309*D309</f>
        <v/>
      </c>
      <c r="F309" s="44" t="inlineStr"/>
    </row>
    <row r="310" ht="22" customHeight="1">
      <c r="A310" s="39" t="n">
        <v>46329</v>
      </c>
      <c r="B310" s="40" t="inlineStr">
        <is>
          <t>Tuesday</t>
        </is>
      </c>
      <c r="C310" s="41" t="n">
        <v>0</v>
      </c>
      <c r="D310" s="41" t="n">
        <v>0</v>
      </c>
      <c r="E310" s="41">
        <f>C310*D310</f>
        <v/>
      </c>
      <c r="F310" s="40" t="inlineStr"/>
    </row>
    <row r="311" ht="22" customHeight="1">
      <c r="A311" s="43" t="n">
        <v>46330</v>
      </c>
      <c r="B311" s="44" t="inlineStr">
        <is>
          <t>Wednesday</t>
        </is>
      </c>
      <c r="C311" s="41" t="n">
        <v>0</v>
      </c>
      <c r="D311" s="41" t="n">
        <v>0</v>
      </c>
      <c r="E311" s="41">
        <f>C311*D311</f>
        <v/>
      </c>
      <c r="F311" s="44" t="inlineStr"/>
    </row>
    <row r="312" ht="22" customHeight="1">
      <c r="A312" s="39" t="n">
        <v>46331</v>
      </c>
      <c r="B312" s="40" t="inlineStr">
        <is>
          <t>Thursday</t>
        </is>
      </c>
      <c r="C312" s="41" t="n">
        <v>0</v>
      </c>
      <c r="D312" s="41" t="n">
        <v>0</v>
      </c>
      <c r="E312" s="41">
        <f>C312*D312</f>
        <v/>
      </c>
      <c r="F312" s="40" t="inlineStr"/>
    </row>
    <row r="313" ht="22" customHeight="1">
      <c r="A313" s="43" t="n">
        <v>46332</v>
      </c>
      <c r="B313" s="44" t="inlineStr">
        <is>
          <t>Friday</t>
        </is>
      </c>
      <c r="C313" s="41" t="n">
        <v>0</v>
      </c>
      <c r="D313" s="41" t="n">
        <v>0</v>
      </c>
      <c r="E313" s="41">
        <f>C313*D313</f>
        <v/>
      </c>
      <c r="F313" s="44" t="inlineStr"/>
    </row>
    <row r="314" ht="22" customHeight="1">
      <c r="A314" s="39" t="n">
        <v>46333</v>
      </c>
      <c r="B314" s="40" t="inlineStr">
        <is>
          <t>Saturday</t>
        </is>
      </c>
      <c r="C314" s="41" t="n">
        <v>0</v>
      </c>
      <c r="D314" s="41" t="n">
        <v>0</v>
      </c>
      <c r="E314" s="41">
        <f>C314*D314</f>
        <v/>
      </c>
      <c r="F314" s="40" t="inlineStr"/>
    </row>
    <row r="315" ht="22" customHeight="1">
      <c r="A315" s="43" t="n">
        <v>46334</v>
      </c>
      <c r="B315" s="44" t="inlineStr">
        <is>
          <t>Sunday</t>
        </is>
      </c>
      <c r="C315" s="41" t="n">
        <v>0</v>
      </c>
      <c r="D315" s="41" t="n">
        <v>0</v>
      </c>
      <c r="E315" s="41">
        <f>C315*D315</f>
        <v/>
      </c>
      <c r="F315" s="44" t="inlineStr"/>
    </row>
    <row r="316" ht="22" customHeight="1">
      <c r="A316" s="39" t="n">
        <v>46335</v>
      </c>
      <c r="B316" s="40" t="inlineStr">
        <is>
          <t>Monday</t>
        </is>
      </c>
      <c r="C316" s="41" t="n">
        <v>0</v>
      </c>
      <c r="D316" s="41" t="n">
        <v>0</v>
      </c>
      <c r="E316" s="41">
        <f>C316*D316</f>
        <v/>
      </c>
      <c r="F316" s="40" t="inlineStr"/>
    </row>
    <row r="317" ht="22" customHeight="1">
      <c r="A317" s="43" t="n">
        <v>46336</v>
      </c>
      <c r="B317" s="44" t="inlineStr">
        <is>
          <t>Tuesday</t>
        </is>
      </c>
      <c r="C317" s="41" t="n">
        <v>0</v>
      </c>
      <c r="D317" s="41" t="n">
        <v>0</v>
      </c>
      <c r="E317" s="41">
        <f>C317*D317</f>
        <v/>
      </c>
      <c r="F317" s="44" t="inlineStr"/>
    </row>
    <row r="318" ht="22" customHeight="1">
      <c r="A318" s="39" t="n">
        <v>46337</v>
      </c>
      <c r="B318" s="40" t="inlineStr">
        <is>
          <t>Wednesday</t>
        </is>
      </c>
      <c r="C318" s="41" t="n">
        <v>0</v>
      </c>
      <c r="D318" s="41" t="n">
        <v>0</v>
      </c>
      <c r="E318" s="41">
        <f>C318*D318</f>
        <v/>
      </c>
      <c r="F318" s="40" t="inlineStr"/>
    </row>
    <row r="319" ht="22" customHeight="1">
      <c r="A319" s="43" t="n">
        <v>46338</v>
      </c>
      <c r="B319" s="44" t="inlineStr">
        <is>
          <t>Thursday</t>
        </is>
      </c>
      <c r="C319" s="41" t="n">
        <v>0</v>
      </c>
      <c r="D319" s="41" t="n">
        <v>0</v>
      </c>
      <c r="E319" s="41">
        <f>C319*D319</f>
        <v/>
      </c>
      <c r="F319" s="44" t="inlineStr"/>
    </row>
    <row r="320" ht="22" customHeight="1">
      <c r="A320" s="39" t="n">
        <v>46339</v>
      </c>
      <c r="B320" s="40" t="inlineStr">
        <is>
          <t>Friday</t>
        </is>
      </c>
      <c r="C320" s="41" t="n">
        <v>0</v>
      </c>
      <c r="D320" s="41" t="n">
        <v>0</v>
      </c>
      <c r="E320" s="41">
        <f>C320*D320</f>
        <v/>
      </c>
      <c r="F320" s="40" t="inlineStr"/>
    </row>
    <row r="321" ht="22" customHeight="1">
      <c r="A321" s="43" t="n">
        <v>46340</v>
      </c>
      <c r="B321" s="44" t="inlineStr">
        <is>
          <t>Saturday</t>
        </is>
      </c>
      <c r="C321" s="41" t="n">
        <v>0</v>
      </c>
      <c r="D321" s="41" t="n">
        <v>0</v>
      </c>
      <c r="E321" s="41">
        <f>C321*D321</f>
        <v/>
      </c>
      <c r="F321" s="44" t="inlineStr"/>
    </row>
    <row r="322" ht="22" customHeight="1">
      <c r="A322" s="39" t="n">
        <v>46341</v>
      </c>
      <c r="B322" s="40" t="inlineStr">
        <is>
          <t>Sunday</t>
        </is>
      </c>
      <c r="C322" s="41" t="n">
        <v>0</v>
      </c>
      <c r="D322" s="41" t="n">
        <v>0</v>
      </c>
      <c r="E322" s="41">
        <f>C322*D322</f>
        <v/>
      </c>
      <c r="F322" s="40" t="inlineStr"/>
    </row>
    <row r="323" ht="22" customHeight="1">
      <c r="A323" s="43" t="n">
        <v>46342</v>
      </c>
      <c r="B323" s="44" t="inlineStr">
        <is>
          <t>Monday</t>
        </is>
      </c>
      <c r="C323" s="41" t="n">
        <v>0</v>
      </c>
      <c r="D323" s="41" t="n">
        <v>0</v>
      </c>
      <c r="E323" s="41">
        <f>C323*D323</f>
        <v/>
      </c>
      <c r="F323" s="44" t="inlineStr"/>
    </row>
    <row r="324" ht="22" customHeight="1">
      <c r="A324" s="39" t="n">
        <v>46343</v>
      </c>
      <c r="B324" s="40" t="inlineStr">
        <is>
          <t>Tuesday</t>
        </is>
      </c>
      <c r="C324" s="41" t="n">
        <v>0</v>
      </c>
      <c r="D324" s="41" t="n">
        <v>0</v>
      </c>
      <c r="E324" s="41">
        <f>C324*D324</f>
        <v/>
      </c>
      <c r="F324" s="40" t="inlineStr"/>
    </row>
    <row r="325" ht="22" customHeight="1">
      <c r="A325" s="43" t="n">
        <v>46344</v>
      </c>
      <c r="B325" s="44" t="inlineStr">
        <is>
          <t>Wednesday</t>
        </is>
      </c>
      <c r="C325" s="41" t="n">
        <v>0</v>
      </c>
      <c r="D325" s="41" t="n">
        <v>0</v>
      </c>
      <c r="E325" s="41">
        <f>C325*D325</f>
        <v/>
      </c>
      <c r="F325" s="44" t="inlineStr"/>
    </row>
    <row r="326" ht="22" customHeight="1">
      <c r="A326" s="39" t="n">
        <v>46345</v>
      </c>
      <c r="B326" s="40" t="inlineStr">
        <is>
          <t>Thursday</t>
        </is>
      </c>
      <c r="C326" s="41" t="n">
        <v>0</v>
      </c>
      <c r="D326" s="41" t="n">
        <v>0</v>
      </c>
      <c r="E326" s="41">
        <f>C326*D326</f>
        <v/>
      </c>
      <c r="F326" s="40" t="inlineStr"/>
    </row>
    <row r="327" ht="22" customHeight="1">
      <c r="A327" s="43" t="n">
        <v>46346</v>
      </c>
      <c r="B327" s="44" t="inlineStr">
        <is>
          <t>Friday</t>
        </is>
      </c>
      <c r="C327" s="41" t="n">
        <v>0</v>
      </c>
      <c r="D327" s="41" t="n">
        <v>0</v>
      </c>
      <c r="E327" s="41">
        <f>C327*D327</f>
        <v/>
      </c>
      <c r="F327" s="44" t="inlineStr"/>
    </row>
    <row r="328" ht="22" customHeight="1">
      <c r="A328" s="39" t="n">
        <v>46347</v>
      </c>
      <c r="B328" s="40" t="inlineStr">
        <is>
          <t>Saturday</t>
        </is>
      </c>
      <c r="C328" s="41" t="n">
        <v>0</v>
      </c>
      <c r="D328" s="41" t="n">
        <v>0</v>
      </c>
      <c r="E328" s="41">
        <f>C328*D328</f>
        <v/>
      </c>
      <c r="F328" s="40" t="inlineStr"/>
    </row>
    <row r="329" ht="22" customHeight="1">
      <c r="A329" s="43" t="n">
        <v>46348</v>
      </c>
      <c r="B329" s="44" t="inlineStr">
        <is>
          <t>Sunday</t>
        </is>
      </c>
      <c r="C329" s="41" t="n">
        <v>0</v>
      </c>
      <c r="D329" s="41" t="n">
        <v>0</v>
      </c>
      <c r="E329" s="41">
        <f>C329*D329</f>
        <v/>
      </c>
      <c r="F329" s="44" t="inlineStr"/>
    </row>
    <row r="330" ht="22" customHeight="1">
      <c r="A330" s="39" t="n">
        <v>46349</v>
      </c>
      <c r="B330" s="40" t="inlineStr">
        <is>
          <t>Monday</t>
        </is>
      </c>
      <c r="C330" s="41" t="n">
        <v>0</v>
      </c>
      <c r="D330" s="41" t="n">
        <v>0</v>
      </c>
      <c r="E330" s="41">
        <f>C330*D330</f>
        <v/>
      </c>
      <c r="F330" s="40" t="inlineStr"/>
    </row>
    <row r="331" ht="22" customHeight="1">
      <c r="A331" s="43" t="n">
        <v>46350</v>
      </c>
      <c r="B331" s="44" t="inlineStr">
        <is>
          <t>Tuesday</t>
        </is>
      </c>
      <c r="C331" s="41" t="n">
        <v>0</v>
      </c>
      <c r="D331" s="41" t="n">
        <v>0</v>
      </c>
      <c r="E331" s="41">
        <f>C331*D331</f>
        <v/>
      </c>
      <c r="F331" s="44" t="inlineStr"/>
    </row>
    <row r="332" ht="22" customHeight="1">
      <c r="A332" s="39" t="n">
        <v>46351</v>
      </c>
      <c r="B332" s="40" t="inlineStr">
        <is>
          <t>Wednesday</t>
        </is>
      </c>
      <c r="C332" s="41" t="n">
        <v>0</v>
      </c>
      <c r="D332" s="41" t="n">
        <v>0</v>
      </c>
      <c r="E332" s="41">
        <f>C332*D332</f>
        <v/>
      </c>
      <c r="F332" s="40" t="inlineStr"/>
    </row>
    <row r="333" ht="22" customHeight="1">
      <c r="A333" s="43" t="n">
        <v>46352</v>
      </c>
      <c r="B333" s="44" t="inlineStr">
        <is>
          <t>Thursday</t>
        </is>
      </c>
      <c r="C333" s="41" t="n">
        <v>0</v>
      </c>
      <c r="D333" s="41" t="n">
        <v>0</v>
      </c>
      <c r="E333" s="41">
        <f>C333*D333</f>
        <v/>
      </c>
      <c r="F333" s="44" t="inlineStr"/>
    </row>
    <row r="334" ht="22" customHeight="1">
      <c r="A334" s="39" t="n">
        <v>46353</v>
      </c>
      <c r="B334" s="40" t="inlineStr">
        <is>
          <t>Friday</t>
        </is>
      </c>
      <c r="C334" s="41" t="n">
        <v>0</v>
      </c>
      <c r="D334" s="41" t="n">
        <v>0</v>
      </c>
      <c r="E334" s="41">
        <f>C334*D334</f>
        <v/>
      </c>
      <c r="F334" s="40" t="inlineStr"/>
    </row>
    <row r="335" ht="22" customHeight="1">
      <c r="A335" s="43" t="n">
        <v>46354</v>
      </c>
      <c r="B335" s="44" t="inlineStr">
        <is>
          <t>Saturday</t>
        </is>
      </c>
      <c r="C335" s="41" t="n">
        <v>0</v>
      </c>
      <c r="D335" s="41" t="n">
        <v>0</v>
      </c>
      <c r="E335" s="41">
        <f>C335*D335</f>
        <v/>
      </c>
      <c r="F335" s="44" t="inlineStr"/>
    </row>
    <row r="336" ht="22" customHeight="1">
      <c r="A336" s="39" t="n">
        <v>46355</v>
      </c>
      <c r="B336" s="40" t="inlineStr">
        <is>
          <t>Sunday</t>
        </is>
      </c>
      <c r="C336" s="41" t="n">
        <v>0</v>
      </c>
      <c r="D336" s="41" t="n">
        <v>0</v>
      </c>
      <c r="E336" s="41">
        <f>C336*D336</f>
        <v/>
      </c>
      <c r="F336" s="40" t="inlineStr"/>
    </row>
    <row r="337" ht="22" customHeight="1">
      <c r="A337" s="43" t="n">
        <v>46356</v>
      </c>
      <c r="B337" s="44" t="inlineStr">
        <is>
          <t>Monday</t>
        </is>
      </c>
      <c r="C337" s="41" t="n">
        <v>0</v>
      </c>
      <c r="D337" s="41" t="n">
        <v>0</v>
      </c>
      <c r="E337" s="41">
        <f>C337*D337</f>
        <v/>
      </c>
      <c r="F337" s="44" t="inlineStr"/>
    </row>
    <row r="338" ht="22" customHeight="1">
      <c r="A338" s="39" t="n">
        <v>46357</v>
      </c>
      <c r="B338" s="40" t="inlineStr">
        <is>
          <t>Tuesday</t>
        </is>
      </c>
      <c r="C338" s="41" t="n">
        <v>0</v>
      </c>
      <c r="D338" s="41" t="n">
        <v>0</v>
      </c>
      <c r="E338" s="41">
        <f>C338*D338</f>
        <v/>
      </c>
      <c r="F338" s="40" t="inlineStr"/>
    </row>
    <row r="339" ht="22" customHeight="1">
      <c r="A339" s="43" t="n">
        <v>46358</v>
      </c>
      <c r="B339" s="44" t="inlineStr">
        <is>
          <t>Wednesday</t>
        </is>
      </c>
      <c r="C339" s="41" t="n">
        <v>0</v>
      </c>
      <c r="D339" s="41" t="n">
        <v>0</v>
      </c>
      <c r="E339" s="41">
        <f>C339*D339</f>
        <v/>
      </c>
      <c r="F339" s="44" t="inlineStr"/>
    </row>
    <row r="340" ht="22" customHeight="1">
      <c r="A340" s="39" t="n">
        <v>46359</v>
      </c>
      <c r="B340" s="40" t="inlineStr">
        <is>
          <t>Thursday</t>
        </is>
      </c>
      <c r="C340" s="41" t="n">
        <v>0</v>
      </c>
      <c r="D340" s="41" t="n">
        <v>0</v>
      </c>
      <c r="E340" s="41">
        <f>C340*D340</f>
        <v/>
      </c>
      <c r="F340" s="40" t="inlineStr"/>
    </row>
    <row r="341" ht="22" customHeight="1">
      <c r="A341" s="43" t="n">
        <v>46360</v>
      </c>
      <c r="B341" s="44" t="inlineStr">
        <is>
          <t>Friday</t>
        </is>
      </c>
      <c r="C341" s="41" t="n">
        <v>0</v>
      </c>
      <c r="D341" s="41" t="n">
        <v>0</v>
      </c>
      <c r="E341" s="41">
        <f>C341*D341</f>
        <v/>
      </c>
      <c r="F341" s="44" t="inlineStr"/>
    </row>
    <row r="342" ht="22" customHeight="1">
      <c r="A342" s="39" t="n">
        <v>46361</v>
      </c>
      <c r="B342" s="40" t="inlineStr">
        <is>
          <t>Saturday</t>
        </is>
      </c>
      <c r="C342" s="41" t="n">
        <v>0</v>
      </c>
      <c r="D342" s="41" t="n">
        <v>0</v>
      </c>
      <c r="E342" s="41">
        <f>C342*D342</f>
        <v/>
      </c>
      <c r="F342" s="40" t="inlineStr"/>
    </row>
    <row r="343" ht="22" customHeight="1">
      <c r="A343" s="43" t="n">
        <v>46362</v>
      </c>
      <c r="B343" s="44" t="inlineStr">
        <is>
          <t>Sunday</t>
        </is>
      </c>
      <c r="C343" s="41" t="n">
        <v>0</v>
      </c>
      <c r="D343" s="41" t="n">
        <v>0</v>
      </c>
      <c r="E343" s="41">
        <f>C343*D343</f>
        <v/>
      </c>
      <c r="F343" s="44" t="inlineStr"/>
    </row>
    <row r="344" ht="22" customHeight="1">
      <c r="A344" s="39" t="n">
        <v>46363</v>
      </c>
      <c r="B344" s="40" t="inlineStr">
        <is>
          <t>Monday</t>
        </is>
      </c>
      <c r="C344" s="41" t="n">
        <v>0</v>
      </c>
      <c r="D344" s="41" t="n">
        <v>0</v>
      </c>
      <c r="E344" s="41">
        <f>C344*D344</f>
        <v/>
      </c>
      <c r="F344" s="40" t="inlineStr"/>
    </row>
    <row r="345" ht="22" customHeight="1">
      <c r="A345" s="43" t="n">
        <v>46364</v>
      </c>
      <c r="B345" s="44" t="inlineStr">
        <is>
          <t>Tuesday</t>
        </is>
      </c>
      <c r="C345" s="41" t="n">
        <v>0</v>
      </c>
      <c r="D345" s="41" t="n">
        <v>0</v>
      </c>
      <c r="E345" s="41">
        <f>C345*D345</f>
        <v/>
      </c>
      <c r="F345" s="44" t="inlineStr"/>
    </row>
    <row r="346" ht="22" customHeight="1">
      <c r="A346" s="39" t="n">
        <v>46365</v>
      </c>
      <c r="B346" s="40" t="inlineStr">
        <is>
          <t>Wednesday</t>
        </is>
      </c>
      <c r="C346" s="41" t="n">
        <v>0</v>
      </c>
      <c r="D346" s="41" t="n">
        <v>0</v>
      </c>
      <c r="E346" s="41">
        <f>C346*D346</f>
        <v/>
      </c>
      <c r="F346" s="40" t="inlineStr"/>
    </row>
    <row r="347" ht="22" customHeight="1">
      <c r="A347" s="43" t="n">
        <v>46366</v>
      </c>
      <c r="B347" s="44" t="inlineStr">
        <is>
          <t>Thursday</t>
        </is>
      </c>
      <c r="C347" s="41" t="n">
        <v>0</v>
      </c>
      <c r="D347" s="41" t="n">
        <v>0</v>
      </c>
      <c r="E347" s="41">
        <f>C347*D347</f>
        <v/>
      </c>
      <c r="F347" s="44" t="inlineStr"/>
    </row>
    <row r="348" ht="22" customHeight="1">
      <c r="A348" s="39" t="n">
        <v>46367</v>
      </c>
      <c r="B348" s="40" t="inlineStr">
        <is>
          <t>Friday</t>
        </is>
      </c>
      <c r="C348" s="41" t="n">
        <v>0</v>
      </c>
      <c r="D348" s="41" t="n">
        <v>0</v>
      </c>
      <c r="E348" s="41">
        <f>C348*D348</f>
        <v/>
      </c>
      <c r="F348" s="40" t="inlineStr"/>
    </row>
    <row r="349" ht="22" customHeight="1">
      <c r="A349" s="43" t="n">
        <v>46368</v>
      </c>
      <c r="B349" s="44" t="inlineStr">
        <is>
          <t>Saturday</t>
        </is>
      </c>
      <c r="C349" s="41" t="n">
        <v>0</v>
      </c>
      <c r="D349" s="41" t="n">
        <v>0</v>
      </c>
      <c r="E349" s="41">
        <f>C349*D349</f>
        <v/>
      </c>
      <c r="F349" s="44" t="inlineStr"/>
    </row>
    <row r="350" ht="22" customHeight="1">
      <c r="A350" s="39" t="n">
        <v>46369</v>
      </c>
      <c r="B350" s="40" t="inlineStr">
        <is>
          <t>Sunday</t>
        </is>
      </c>
      <c r="C350" s="41" t="n">
        <v>0</v>
      </c>
      <c r="D350" s="41" t="n">
        <v>0</v>
      </c>
      <c r="E350" s="41">
        <f>C350*D350</f>
        <v/>
      </c>
      <c r="F350" s="40" t="inlineStr"/>
    </row>
    <row r="351" ht="22" customHeight="1">
      <c r="A351" s="43" t="n">
        <v>46370</v>
      </c>
      <c r="B351" s="44" t="inlineStr">
        <is>
          <t>Monday</t>
        </is>
      </c>
      <c r="C351" s="41" t="n">
        <v>0</v>
      </c>
      <c r="D351" s="41" t="n">
        <v>0</v>
      </c>
      <c r="E351" s="41">
        <f>C351*D351</f>
        <v/>
      </c>
      <c r="F351" s="44" t="inlineStr"/>
    </row>
    <row r="352" ht="22" customHeight="1">
      <c r="A352" s="39" t="n">
        <v>46371</v>
      </c>
      <c r="B352" s="40" t="inlineStr">
        <is>
          <t>Tuesday</t>
        </is>
      </c>
      <c r="C352" s="41" t="n">
        <v>0</v>
      </c>
      <c r="D352" s="41" t="n">
        <v>0</v>
      </c>
      <c r="E352" s="41">
        <f>C352*D352</f>
        <v/>
      </c>
      <c r="F352" s="40" t="inlineStr"/>
    </row>
    <row r="353" ht="22" customHeight="1">
      <c r="A353" s="43" t="n">
        <v>46372</v>
      </c>
      <c r="B353" s="44" t="inlineStr">
        <is>
          <t>Wednesday</t>
        </is>
      </c>
      <c r="C353" s="41" t="n">
        <v>0</v>
      </c>
      <c r="D353" s="41" t="n">
        <v>0</v>
      </c>
      <c r="E353" s="41">
        <f>C353*D353</f>
        <v/>
      </c>
      <c r="F353" s="44" t="inlineStr"/>
    </row>
    <row r="354" ht="22" customHeight="1">
      <c r="A354" s="39" t="n">
        <v>46373</v>
      </c>
      <c r="B354" s="40" t="inlineStr">
        <is>
          <t>Thursday</t>
        </is>
      </c>
      <c r="C354" s="41" t="n">
        <v>0</v>
      </c>
      <c r="D354" s="41" t="n">
        <v>0</v>
      </c>
      <c r="E354" s="41">
        <f>C354*D354</f>
        <v/>
      </c>
      <c r="F354" s="40" t="inlineStr"/>
    </row>
    <row r="355" ht="22" customHeight="1">
      <c r="A355" s="43" t="n">
        <v>46374</v>
      </c>
      <c r="B355" s="44" t="inlineStr">
        <is>
          <t>Friday</t>
        </is>
      </c>
      <c r="C355" s="41" t="n">
        <v>0</v>
      </c>
      <c r="D355" s="41" t="n">
        <v>0</v>
      </c>
      <c r="E355" s="41">
        <f>C355*D355</f>
        <v/>
      </c>
      <c r="F355" s="44" t="inlineStr"/>
    </row>
    <row r="356" ht="22" customHeight="1">
      <c r="A356" s="39" t="n">
        <v>46375</v>
      </c>
      <c r="B356" s="40" t="inlineStr">
        <is>
          <t>Saturday</t>
        </is>
      </c>
      <c r="C356" s="41" t="n">
        <v>0</v>
      </c>
      <c r="D356" s="41" t="n">
        <v>0</v>
      </c>
      <c r="E356" s="41">
        <f>C356*D356</f>
        <v/>
      </c>
      <c r="F356" s="40" t="inlineStr"/>
    </row>
    <row r="357" ht="22" customHeight="1">
      <c r="A357" s="43" t="n">
        <v>46376</v>
      </c>
      <c r="B357" s="44" t="inlineStr">
        <is>
          <t>Sunday</t>
        </is>
      </c>
      <c r="C357" s="41" t="n">
        <v>0</v>
      </c>
      <c r="D357" s="41" t="n">
        <v>0</v>
      </c>
      <c r="E357" s="41">
        <f>C357*D357</f>
        <v/>
      </c>
      <c r="F357" s="44" t="inlineStr"/>
    </row>
    <row r="358" ht="22" customHeight="1">
      <c r="A358" s="39" t="n">
        <v>46377</v>
      </c>
      <c r="B358" s="40" t="inlineStr">
        <is>
          <t>Monday</t>
        </is>
      </c>
      <c r="C358" s="41" t="n">
        <v>0</v>
      </c>
      <c r="D358" s="41" t="n">
        <v>0</v>
      </c>
      <c r="E358" s="41">
        <f>C358*D358</f>
        <v/>
      </c>
      <c r="F358" s="40" t="inlineStr"/>
    </row>
    <row r="359" ht="22" customHeight="1">
      <c r="A359" s="43" t="n">
        <v>46378</v>
      </c>
      <c r="B359" s="44" t="inlineStr">
        <is>
          <t>Tuesday</t>
        </is>
      </c>
      <c r="C359" s="41" t="n">
        <v>0</v>
      </c>
      <c r="D359" s="41" t="n">
        <v>0</v>
      </c>
      <c r="E359" s="41">
        <f>C359*D359</f>
        <v/>
      </c>
      <c r="F359" s="44" t="inlineStr"/>
    </row>
    <row r="360" ht="22" customHeight="1">
      <c r="A360" s="39" t="n">
        <v>46379</v>
      </c>
      <c r="B360" s="40" t="inlineStr">
        <is>
          <t>Wednesday</t>
        </is>
      </c>
      <c r="C360" s="41" t="n">
        <v>0</v>
      </c>
      <c r="D360" s="41" t="n">
        <v>0</v>
      </c>
      <c r="E360" s="41">
        <f>C360*D360</f>
        <v/>
      </c>
      <c r="F360" s="40" t="inlineStr"/>
    </row>
    <row r="361" ht="22" customHeight="1">
      <c r="A361" s="43" t="n">
        <v>46380</v>
      </c>
      <c r="B361" s="44" t="inlineStr">
        <is>
          <t>Thursday</t>
        </is>
      </c>
      <c r="C361" s="41" t="n">
        <v>0</v>
      </c>
      <c r="D361" s="41" t="n">
        <v>0</v>
      </c>
      <c r="E361" s="41">
        <f>C361*D361</f>
        <v/>
      </c>
      <c r="F361" s="44" t="inlineStr"/>
    </row>
    <row r="362" ht="22" customHeight="1">
      <c r="A362" s="39" t="n">
        <v>46381</v>
      </c>
      <c r="B362" s="40" t="inlineStr">
        <is>
          <t>Friday</t>
        </is>
      </c>
      <c r="C362" s="41" t="n">
        <v>0</v>
      </c>
      <c r="D362" s="41" t="n">
        <v>0</v>
      </c>
      <c r="E362" s="41">
        <f>C362*D362</f>
        <v/>
      </c>
      <c r="F362" s="40" t="inlineStr"/>
    </row>
    <row r="363" ht="22" customHeight="1">
      <c r="A363" s="43" t="n">
        <v>46382</v>
      </c>
      <c r="B363" s="44" t="inlineStr">
        <is>
          <t>Saturday</t>
        </is>
      </c>
      <c r="C363" s="41" t="n">
        <v>0</v>
      </c>
      <c r="D363" s="41" t="n">
        <v>0</v>
      </c>
      <c r="E363" s="41">
        <f>C363*D363</f>
        <v/>
      </c>
      <c r="F363" s="44" t="inlineStr"/>
    </row>
    <row r="364" ht="22" customHeight="1">
      <c r="A364" s="39" t="n">
        <v>46383</v>
      </c>
      <c r="B364" s="40" t="inlineStr">
        <is>
          <t>Sunday</t>
        </is>
      </c>
      <c r="C364" s="41" t="n">
        <v>0</v>
      </c>
      <c r="D364" s="41" t="n">
        <v>0</v>
      </c>
      <c r="E364" s="41">
        <f>C364*D364</f>
        <v/>
      </c>
      <c r="F364" s="40" t="inlineStr"/>
    </row>
    <row r="365" ht="22" customHeight="1">
      <c r="A365" s="43" t="n">
        <v>46384</v>
      </c>
      <c r="B365" s="44" t="inlineStr">
        <is>
          <t>Monday</t>
        </is>
      </c>
      <c r="C365" s="41" t="n">
        <v>0</v>
      </c>
      <c r="D365" s="41" t="n">
        <v>0</v>
      </c>
      <c r="E365" s="41">
        <f>C365*D365</f>
        <v/>
      </c>
      <c r="F365" s="44" t="inlineStr"/>
    </row>
    <row r="366" ht="22" customHeight="1">
      <c r="A366" s="39" t="n">
        <v>46385</v>
      </c>
      <c r="B366" s="40" t="inlineStr">
        <is>
          <t>Tuesday</t>
        </is>
      </c>
      <c r="C366" s="41" t="n">
        <v>0</v>
      </c>
      <c r="D366" s="41" t="n">
        <v>0</v>
      </c>
      <c r="E366" s="41">
        <f>C366*D366</f>
        <v/>
      </c>
      <c r="F366" s="40" t="inlineStr"/>
    </row>
    <row r="367" ht="22" customHeight="1">
      <c r="A367" s="43" t="n">
        <v>46386</v>
      </c>
      <c r="B367" s="44" t="inlineStr">
        <is>
          <t>Wednesday</t>
        </is>
      </c>
      <c r="C367" s="41" t="n">
        <v>0</v>
      </c>
      <c r="D367" s="41" t="n">
        <v>0</v>
      </c>
      <c r="E367" s="41">
        <f>C367*D367</f>
        <v/>
      </c>
      <c r="F367" s="44" t="inlineStr"/>
    </row>
    <row r="368" ht="22" customHeight="1">
      <c r="A368" s="39" t="n">
        <v>46387</v>
      </c>
      <c r="B368" s="40" t="inlineStr">
        <is>
          <t>Thursday</t>
        </is>
      </c>
      <c r="C368" s="41" t="n">
        <v>0</v>
      </c>
      <c r="D368" s="41" t="n">
        <v>0</v>
      </c>
      <c r="E368" s="41">
        <f>C368*D368</f>
        <v/>
      </c>
      <c r="F368" s="40" t="inlineStr"/>
    </row>
  </sheetData>
  <autoFilter ref="A3:F368"/>
  <mergeCells count="2">
    <mergeCell ref="A2:F2"/>
    <mergeCell ref="A1:F1"/>
  </mergeCells>
  <conditionalFormatting sqref="C4:C368">
    <cfRule type="expression" priority="1" dxfId="0">
      <formula>C4=1</formula>
    </cfRule>
  </conditionalFormatting>
  <conditionalFormatting sqref="D4:D368">
    <cfRule type="expression" priority="2" dxfId="0">
      <formula>D4=1</formula>
    </cfRule>
  </conditionalFormatting>
  <conditionalFormatting sqref="E4:E368">
    <cfRule type="expression" priority="3" dxfId="0">
      <formula>E4=1</formula>
    </cfRule>
  </conditionalFormatting>
  <pageMargins left="0.75" right="0.75" top="1" bottom="1" header="0.5" footer="0.5"/>
  <extLst>
    <ext xmlns:x14="http://schemas.microsoft.com/office/spreadsheetml/2009/9/main" uri="{CCF9B9E7-4FED-4B87-89B2-7A4E5FC3597B}">
      <x14:dataValidations>
        <x14:dataValidation type="checkBox">
          <xm:sqref xmlns:xm="http://schemas.microsoft.com/office/excel/2006/main">C4:D368</xm:sqref>
        </x14:dataValidation>
      </x14:dataValidations>
    </ext>
  </extLst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/>
  </sheetPr>
  <dimension ref="A1:G3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0" customWidth="1" min="4" max="4"/>
    <col width="11" customWidth="1" min="5" max="5"/>
    <col width="13" customWidth="1" min="6" max="6"/>
    <col width="25" customWidth="1" min="7" max="7"/>
  </cols>
  <sheetData>
    <row r="1" ht="32" customHeight="1">
      <c r="A1" s="52" t="inlineStr">
        <is>
          <t>👟  STEPS TRACKER 2026</t>
        </is>
      </c>
    </row>
    <row r="2" ht="24" customHeight="1">
      <c r="A2" s="53" t="inlineStr">
        <is>
          <t>Enter your step count — Goal Met turns GREEN automatically when steps ≥ goal, RED when below</t>
        </is>
      </c>
    </row>
    <row r="3" ht="28" customHeight="1">
      <c r="A3" s="8" t="inlineStr">
        <is>
          <t>Date</t>
        </is>
      </c>
      <c r="B3" s="8" t="inlineStr">
        <is>
          <t>Day</t>
        </is>
      </c>
      <c r="C3" s="8" t="inlineStr">
        <is>
          <t>Steps</t>
        </is>
      </c>
      <c r="D3" s="8" t="inlineStr">
        <is>
          <t>Goal</t>
        </is>
      </c>
      <c r="E3" s="8" t="inlineStr">
        <is>
          <t>Goal Met</t>
        </is>
      </c>
      <c r="F3" s="8" t="inlineStr">
        <is>
          <t>Difference</t>
        </is>
      </c>
      <c r="G3" s="8" t="inlineStr">
        <is>
          <t>Notes</t>
        </is>
      </c>
    </row>
    <row r="4" ht="22" customHeight="1">
      <c r="A4" s="39" t="n">
        <v>46023</v>
      </c>
      <c r="B4" s="40" t="inlineStr">
        <is>
          <t>Thursday</t>
        </is>
      </c>
      <c r="C4" s="40" t="inlineStr"/>
      <c r="D4" s="54">
        <f>'Goals &amp; Settings'!B5</f>
        <v/>
      </c>
      <c r="E4" s="55">
        <f>IF(C4="","",IF(C4&gt;=D4,1,0))</f>
        <v/>
      </c>
      <c r="F4" s="56">
        <f>IF(C4="","",C4-D4)</f>
        <v/>
      </c>
      <c r="G4" s="40" t="inlineStr"/>
    </row>
    <row r="5" ht="22" customHeight="1">
      <c r="A5" s="43" t="n">
        <v>46024</v>
      </c>
      <c r="B5" s="44" t="inlineStr">
        <is>
          <t>Friday</t>
        </is>
      </c>
      <c r="C5" s="44" t="inlineStr"/>
      <c r="D5" s="57">
        <f>'Goals &amp; Settings'!B5</f>
        <v/>
      </c>
      <c r="E5" s="58">
        <f>IF(C5="","",IF(C5&gt;=D5,1,0))</f>
        <v/>
      </c>
      <c r="F5" s="59">
        <f>IF(C5="","",C5-D5)</f>
        <v/>
      </c>
      <c r="G5" s="44" t="inlineStr"/>
    </row>
    <row r="6" ht="22" customHeight="1">
      <c r="A6" s="39" t="n">
        <v>46025</v>
      </c>
      <c r="B6" s="40" t="inlineStr">
        <is>
          <t>Saturday</t>
        </is>
      </c>
      <c r="C6" s="40" t="inlineStr"/>
      <c r="D6" s="54">
        <f>'Goals &amp; Settings'!B5</f>
        <v/>
      </c>
      <c r="E6" s="55">
        <f>IF(C6="","",IF(C6&gt;=D6,1,0))</f>
        <v/>
      </c>
      <c r="F6" s="56">
        <f>IF(C6="","",C6-D6)</f>
        <v/>
      </c>
      <c r="G6" s="40" t="inlineStr"/>
    </row>
    <row r="7" ht="22" customHeight="1">
      <c r="A7" s="43" t="n">
        <v>46026</v>
      </c>
      <c r="B7" s="44" t="inlineStr">
        <is>
          <t>Sunday</t>
        </is>
      </c>
      <c r="C7" s="44" t="inlineStr"/>
      <c r="D7" s="57">
        <f>'Goals &amp; Settings'!B5</f>
        <v/>
      </c>
      <c r="E7" s="58">
        <f>IF(C7="","",IF(C7&gt;=D7,1,0))</f>
        <v/>
      </c>
      <c r="F7" s="59">
        <f>IF(C7="","",C7-D7)</f>
        <v/>
      </c>
      <c r="G7" s="44" t="inlineStr"/>
    </row>
    <row r="8" ht="22" customHeight="1">
      <c r="A8" s="39" t="n">
        <v>46027</v>
      </c>
      <c r="B8" s="40" t="inlineStr">
        <is>
          <t>Monday</t>
        </is>
      </c>
      <c r="C8" s="40" t="inlineStr"/>
      <c r="D8" s="54">
        <f>'Goals &amp; Settings'!B5</f>
        <v/>
      </c>
      <c r="E8" s="55">
        <f>IF(C8="","",IF(C8&gt;=D8,1,0))</f>
        <v/>
      </c>
      <c r="F8" s="56">
        <f>IF(C8="","",C8-D8)</f>
        <v/>
      </c>
      <c r="G8" s="40" t="inlineStr"/>
    </row>
    <row r="9" ht="22" customHeight="1">
      <c r="A9" s="43" t="n">
        <v>46028</v>
      </c>
      <c r="B9" s="44" t="inlineStr">
        <is>
          <t>Tuesday</t>
        </is>
      </c>
      <c r="C9" s="44" t="inlineStr"/>
      <c r="D9" s="57">
        <f>'Goals &amp; Settings'!B5</f>
        <v/>
      </c>
      <c r="E9" s="58">
        <f>IF(C9="","",IF(C9&gt;=D9,1,0))</f>
        <v/>
      </c>
      <c r="F9" s="59">
        <f>IF(C9="","",C9-D9)</f>
        <v/>
      </c>
      <c r="G9" s="44" t="inlineStr"/>
    </row>
    <row r="10" ht="22" customHeight="1">
      <c r="A10" s="39" t="n">
        <v>46029</v>
      </c>
      <c r="B10" s="40" t="inlineStr">
        <is>
          <t>Wednesday</t>
        </is>
      </c>
      <c r="C10" s="40" t="inlineStr"/>
      <c r="D10" s="54">
        <f>'Goals &amp; Settings'!B5</f>
        <v/>
      </c>
      <c r="E10" s="55">
        <f>IF(C10="","",IF(C10&gt;=D10,1,0))</f>
        <v/>
      </c>
      <c r="F10" s="56">
        <f>IF(C10="","",C10-D10)</f>
        <v/>
      </c>
      <c r="G10" s="40" t="inlineStr"/>
    </row>
    <row r="11" ht="22" customHeight="1">
      <c r="A11" s="43" t="n">
        <v>46030</v>
      </c>
      <c r="B11" s="44" t="inlineStr">
        <is>
          <t>Thursday</t>
        </is>
      </c>
      <c r="C11" s="44" t="inlineStr"/>
      <c r="D11" s="57">
        <f>'Goals &amp; Settings'!B5</f>
        <v/>
      </c>
      <c r="E11" s="58">
        <f>IF(C11="","",IF(C11&gt;=D11,1,0))</f>
        <v/>
      </c>
      <c r="F11" s="59">
        <f>IF(C11="","",C11-D11)</f>
        <v/>
      </c>
      <c r="G11" s="44" t="inlineStr"/>
    </row>
    <row r="12" ht="22" customHeight="1">
      <c r="A12" s="39" t="n">
        <v>46031</v>
      </c>
      <c r="B12" s="40" t="inlineStr">
        <is>
          <t>Friday</t>
        </is>
      </c>
      <c r="C12" s="40" t="inlineStr"/>
      <c r="D12" s="54">
        <f>'Goals &amp; Settings'!B5</f>
        <v/>
      </c>
      <c r="E12" s="55">
        <f>IF(C12="","",IF(C12&gt;=D12,1,0))</f>
        <v/>
      </c>
      <c r="F12" s="56">
        <f>IF(C12="","",C12-D12)</f>
        <v/>
      </c>
      <c r="G12" s="40" t="inlineStr"/>
    </row>
    <row r="13" ht="22" customHeight="1">
      <c r="A13" s="43" t="n">
        <v>46032</v>
      </c>
      <c r="B13" s="44" t="inlineStr">
        <is>
          <t>Saturday</t>
        </is>
      </c>
      <c r="C13" s="44" t="inlineStr"/>
      <c r="D13" s="57">
        <f>'Goals &amp; Settings'!B5</f>
        <v/>
      </c>
      <c r="E13" s="58">
        <f>IF(C13="","",IF(C13&gt;=D13,1,0))</f>
        <v/>
      </c>
      <c r="F13" s="59">
        <f>IF(C13="","",C13-D13)</f>
        <v/>
      </c>
      <c r="G13" s="44" t="inlineStr"/>
    </row>
    <row r="14" ht="22" customHeight="1">
      <c r="A14" s="39" t="n">
        <v>46033</v>
      </c>
      <c r="B14" s="40" t="inlineStr">
        <is>
          <t>Sunday</t>
        </is>
      </c>
      <c r="C14" s="40" t="inlineStr"/>
      <c r="D14" s="54">
        <f>'Goals &amp; Settings'!B5</f>
        <v/>
      </c>
      <c r="E14" s="55">
        <f>IF(C14="","",IF(C14&gt;=D14,1,0))</f>
        <v/>
      </c>
      <c r="F14" s="56">
        <f>IF(C14="","",C14-D14)</f>
        <v/>
      </c>
      <c r="G14" s="40" t="inlineStr"/>
    </row>
    <row r="15" ht="22" customHeight="1">
      <c r="A15" s="43" t="n">
        <v>46034</v>
      </c>
      <c r="B15" s="44" t="inlineStr">
        <is>
          <t>Monday</t>
        </is>
      </c>
      <c r="C15" s="44" t="inlineStr"/>
      <c r="D15" s="57">
        <f>'Goals &amp; Settings'!B5</f>
        <v/>
      </c>
      <c r="E15" s="58">
        <f>IF(C15="","",IF(C15&gt;=D15,1,0))</f>
        <v/>
      </c>
      <c r="F15" s="59">
        <f>IF(C15="","",C15-D15)</f>
        <v/>
      </c>
      <c r="G15" s="44" t="inlineStr"/>
    </row>
    <row r="16" ht="22" customHeight="1">
      <c r="A16" s="39" t="n">
        <v>46035</v>
      </c>
      <c r="B16" s="40" t="inlineStr">
        <is>
          <t>Tuesday</t>
        </is>
      </c>
      <c r="C16" s="40" t="inlineStr"/>
      <c r="D16" s="54">
        <f>'Goals &amp; Settings'!B5</f>
        <v/>
      </c>
      <c r="E16" s="55">
        <f>IF(C16="","",IF(C16&gt;=D16,1,0))</f>
        <v/>
      </c>
      <c r="F16" s="56">
        <f>IF(C16="","",C16-D16)</f>
        <v/>
      </c>
      <c r="G16" s="40" t="inlineStr"/>
    </row>
    <row r="17" ht="22" customHeight="1">
      <c r="A17" s="43" t="n">
        <v>46036</v>
      </c>
      <c r="B17" s="44" t="inlineStr">
        <is>
          <t>Wednesday</t>
        </is>
      </c>
      <c r="C17" s="44" t="inlineStr"/>
      <c r="D17" s="57">
        <f>'Goals &amp; Settings'!B5</f>
        <v/>
      </c>
      <c r="E17" s="58">
        <f>IF(C17="","",IF(C17&gt;=D17,1,0))</f>
        <v/>
      </c>
      <c r="F17" s="59">
        <f>IF(C17="","",C17-D17)</f>
        <v/>
      </c>
      <c r="G17" s="44" t="inlineStr"/>
    </row>
    <row r="18" ht="22" customHeight="1">
      <c r="A18" s="39" t="n">
        <v>46037</v>
      </c>
      <c r="B18" s="40" t="inlineStr">
        <is>
          <t>Thursday</t>
        </is>
      </c>
      <c r="C18" s="40" t="inlineStr"/>
      <c r="D18" s="54">
        <f>'Goals &amp; Settings'!B5</f>
        <v/>
      </c>
      <c r="E18" s="55">
        <f>IF(C18="","",IF(C18&gt;=D18,1,0))</f>
        <v/>
      </c>
      <c r="F18" s="56">
        <f>IF(C18="","",C18-D18)</f>
        <v/>
      </c>
      <c r="G18" s="40" t="inlineStr"/>
    </row>
    <row r="19" ht="22" customHeight="1">
      <c r="A19" s="43" t="n">
        <v>46038</v>
      </c>
      <c r="B19" s="44" t="inlineStr">
        <is>
          <t>Friday</t>
        </is>
      </c>
      <c r="C19" s="44" t="inlineStr"/>
      <c r="D19" s="57">
        <f>'Goals &amp; Settings'!B5</f>
        <v/>
      </c>
      <c r="E19" s="58">
        <f>IF(C19="","",IF(C19&gt;=D19,1,0))</f>
        <v/>
      </c>
      <c r="F19" s="59">
        <f>IF(C19="","",C19-D19)</f>
        <v/>
      </c>
      <c r="G19" s="44" t="inlineStr"/>
    </row>
    <row r="20" ht="22" customHeight="1">
      <c r="A20" s="39" t="n">
        <v>46039</v>
      </c>
      <c r="B20" s="40" t="inlineStr">
        <is>
          <t>Saturday</t>
        </is>
      </c>
      <c r="C20" s="40" t="inlineStr"/>
      <c r="D20" s="54">
        <f>'Goals &amp; Settings'!B5</f>
        <v/>
      </c>
      <c r="E20" s="55">
        <f>IF(C20="","",IF(C20&gt;=D20,1,0))</f>
        <v/>
      </c>
      <c r="F20" s="56">
        <f>IF(C20="","",C20-D20)</f>
        <v/>
      </c>
      <c r="G20" s="40" t="inlineStr"/>
    </row>
    <row r="21" ht="22" customHeight="1">
      <c r="A21" s="43" t="n">
        <v>46040</v>
      </c>
      <c r="B21" s="44" t="inlineStr">
        <is>
          <t>Sunday</t>
        </is>
      </c>
      <c r="C21" s="44" t="inlineStr"/>
      <c r="D21" s="57">
        <f>'Goals &amp; Settings'!B5</f>
        <v/>
      </c>
      <c r="E21" s="58">
        <f>IF(C21="","",IF(C21&gt;=D21,1,0))</f>
        <v/>
      </c>
      <c r="F21" s="59">
        <f>IF(C21="","",C21-D21)</f>
        <v/>
      </c>
      <c r="G21" s="44" t="inlineStr"/>
    </row>
    <row r="22" ht="22" customHeight="1">
      <c r="A22" s="39" t="n">
        <v>46041</v>
      </c>
      <c r="B22" s="40" t="inlineStr">
        <is>
          <t>Monday</t>
        </is>
      </c>
      <c r="C22" s="40" t="inlineStr"/>
      <c r="D22" s="54">
        <f>'Goals &amp; Settings'!B5</f>
        <v/>
      </c>
      <c r="E22" s="55">
        <f>IF(C22="","",IF(C22&gt;=D22,1,0))</f>
        <v/>
      </c>
      <c r="F22" s="56">
        <f>IF(C22="","",C22-D22)</f>
        <v/>
      </c>
      <c r="G22" s="40" t="inlineStr"/>
    </row>
    <row r="23" ht="22" customHeight="1">
      <c r="A23" s="43" t="n">
        <v>46042</v>
      </c>
      <c r="B23" s="44" t="inlineStr">
        <is>
          <t>Tuesday</t>
        </is>
      </c>
      <c r="C23" s="44" t="inlineStr"/>
      <c r="D23" s="57">
        <f>'Goals &amp; Settings'!B5</f>
        <v/>
      </c>
      <c r="E23" s="58">
        <f>IF(C23="","",IF(C23&gt;=D23,1,0))</f>
        <v/>
      </c>
      <c r="F23" s="59">
        <f>IF(C23="","",C23-D23)</f>
        <v/>
      </c>
      <c r="G23" s="44" t="inlineStr"/>
    </row>
    <row r="24" ht="22" customHeight="1">
      <c r="A24" s="39" t="n">
        <v>46043</v>
      </c>
      <c r="B24" s="40" t="inlineStr">
        <is>
          <t>Wednesday</t>
        </is>
      </c>
      <c r="C24" s="40" t="inlineStr"/>
      <c r="D24" s="54">
        <f>'Goals &amp; Settings'!B5</f>
        <v/>
      </c>
      <c r="E24" s="55">
        <f>IF(C24="","",IF(C24&gt;=D24,1,0))</f>
        <v/>
      </c>
      <c r="F24" s="56">
        <f>IF(C24="","",C24-D24)</f>
        <v/>
      </c>
      <c r="G24" s="40" t="inlineStr"/>
    </row>
    <row r="25" ht="22" customHeight="1">
      <c r="A25" s="43" t="n">
        <v>46044</v>
      </c>
      <c r="B25" s="44" t="inlineStr">
        <is>
          <t>Thursday</t>
        </is>
      </c>
      <c r="C25" s="44" t="inlineStr"/>
      <c r="D25" s="57">
        <f>'Goals &amp; Settings'!B5</f>
        <v/>
      </c>
      <c r="E25" s="58">
        <f>IF(C25="","",IF(C25&gt;=D25,1,0))</f>
        <v/>
      </c>
      <c r="F25" s="59">
        <f>IF(C25="","",C25-D25)</f>
        <v/>
      </c>
      <c r="G25" s="44" t="inlineStr"/>
    </row>
    <row r="26" ht="22" customHeight="1">
      <c r="A26" s="39" t="n">
        <v>46045</v>
      </c>
      <c r="B26" s="40" t="inlineStr">
        <is>
          <t>Friday</t>
        </is>
      </c>
      <c r="C26" s="40" t="inlineStr"/>
      <c r="D26" s="54">
        <f>'Goals &amp; Settings'!B5</f>
        <v/>
      </c>
      <c r="E26" s="55">
        <f>IF(C26="","",IF(C26&gt;=D26,1,0))</f>
        <v/>
      </c>
      <c r="F26" s="56">
        <f>IF(C26="","",C26-D26)</f>
        <v/>
      </c>
      <c r="G26" s="40" t="inlineStr"/>
    </row>
    <row r="27" ht="22" customHeight="1">
      <c r="A27" s="43" t="n">
        <v>46046</v>
      </c>
      <c r="B27" s="44" t="inlineStr">
        <is>
          <t>Saturday</t>
        </is>
      </c>
      <c r="C27" s="44" t="inlineStr"/>
      <c r="D27" s="57">
        <f>'Goals &amp; Settings'!B5</f>
        <v/>
      </c>
      <c r="E27" s="58">
        <f>IF(C27="","",IF(C27&gt;=D27,1,0))</f>
        <v/>
      </c>
      <c r="F27" s="59">
        <f>IF(C27="","",C27-D27)</f>
        <v/>
      </c>
      <c r="G27" s="44" t="inlineStr"/>
    </row>
    <row r="28" ht="22" customHeight="1">
      <c r="A28" s="39" t="n">
        <v>46047</v>
      </c>
      <c r="B28" s="40" t="inlineStr">
        <is>
          <t>Sunday</t>
        </is>
      </c>
      <c r="C28" s="40" t="inlineStr"/>
      <c r="D28" s="54">
        <f>'Goals &amp; Settings'!B5</f>
        <v/>
      </c>
      <c r="E28" s="55">
        <f>IF(C28="","",IF(C28&gt;=D28,1,0))</f>
        <v/>
      </c>
      <c r="F28" s="56">
        <f>IF(C28="","",C28-D28)</f>
        <v/>
      </c>
      <c r="G28" s="40" t="inlineStr"/>
    </row>
    <row r="29" ht="22" customHeight="1">
      <c r="A29" s="43" t="n">
        <v>46048</v>
      </c>
      <c r="B29" s="44" t="inlineStr">
        <is>
          <t>Monday</t>
        </is>
      </c>
      <c r="C29" s="44" t="inlineStr"/>
      <c r="D29" s="57">
        <f>'Goals &amp; Settings'!B5</f>
        <v/>
      </c>
      <c r="E29" s="58">
        <f>IF(C29="","",IF(C29&gt;=D29,1,0))</f>
        <v/>
      </c>
      <c r="F29" s="59">
        <f>IF(C29="","",C29-D29)</f>
        <v/>
      </c>
      <c r="G29" s="44" t="inlineStr"/>
    </row>
    <row r="30" ht="22" customHeight="1">
      <c r="A30" s="39" t="n">
        <v>46049</v>
      </c>
      <c r="B30" s="40" t="inlineStr">
        <is>
          <t>Tuesday</t>
        </is>
      </c>
      <c r="C30" s="40" t="inlineStr"/>
      <c r="D30" s="54">
        <f>'Goals &amp; Settings'!B5</f>
        <v/>
      </c>
      <c r="E30" s="55">
        <f>IF(C30="","",IF(C30&gt;=D30,1,0))</f>
        <v/>
      </c>
      <c r="F30" s="56">
        <f>IF(C30="","",C30-D30)</f>
        <v/>
      </c>
      <c r="G30" s="40" t="inlineStr"/>
    </row>
    <row r="31" ht="22" customHeight="1">
      <c r="A31" s="43" t="n">
        <v>46050</v>
      </c>
      <c r="B31" s="44" t="inlineStr">
        <is>
          <t>Wednesday</t>
        </is>
      </c>
      <c r="C31" s="44" t="inlineStr"/>
      <c r="D31" s="57">
        <f>'Goals &amp; Settings'!B5</f>
        <v/>
      </c>
      <c r="E31" s="58">
        <f>IF(C31="","",IF(C31&gt;=D31,1,0))</f>
        <v/>
      </c>
      <c r="F31" s="59">
        <f>IF(C31="","",C31-D31)</f>
        <v/>
      </c>
      <c r="G31" s="44" t="inlineStr"/>
    </row>
    <row r="32" ht="22" customHeight="1">
      <c r="A32" s="39" t="n">
        <v>46051</v>
      </c>
      <c r="B32" s="40" t="inlineStr">
        <is>
          <t>Thursday</t>
        </is>
      </c>
      <c r="C32" s="40" t="inlineStr"/>
      <c r="D32" s="54">
        <f>'Goals &amp; Settings'!B5</f>
        <v/>
      </c>
      <c r="E32" s="55">
        <f>IF(C32="","",IF(C32&gt;=D32,1,0))</f>
        <v/>
      </c>
      <c r="F32" s="56">
        <f>IF(C32="","",C32-D32)</f>
        <v/>
      </c>
      <c r="G32" s="40" t="inlineStr"/>
    </row>
    <row r="33" ht="22" customHeight="1">
      <c r="A33" s="43" t="n">
        <v>46052</v>
      </c>
      <c r="B33" s="44" t="inlineStr">
        <is>
          <t>Friday</t>
        </is>
      </c>
      <c r="C33" s="44" t="inlineStr"/>
      <c r="D33" s="57">
        <f>'Goals &amp; Settings'!B5</f>
        <v/>
      </c>
      <c r="E33" s="58">
        <f>IF(C33="","",IF(C33&gt;=D33,1,0))</f>
        <v/>
      </c>
      <c r="F33" s="59">
        <f>IF(C33="","",C33-D33)</f>
        <v/>
      </c>
      <c r="G33" s="44" t="inlineStr"/>
    </row>
    <row r="34" ht="22" customHeight="1">
      <c r="A34" s="39" t="n">
        <v>46053</v>
      </c>
      <c r="B34" s="40" t="inlineStr">
        <is>
          <t>Saturday</t>
        </is>
      </c>
      <c r="C34" s="40" t="inlineStr"/>
      <c r="D34" s="54">
        <f>'Goals &amp; Settings'!B5</f>
        <v/>
      </c>
      <c r="E34" s="55">
        <f>IF(C34="","",IF(C34&gt;=D34,1,0))</f>
        <v/>
      </c>
      <c r="F34" s="56">
        <f>IF(C34="","",C34-D34)</f>
        <v/>
      </c>
      <c r="G34" s="40" t="inlineStr"/>
    </row>
    <row r="35" ht="22" customHeight="1">
      <c r="A35" s="43" t="n">
        <v>46054</v>
      </c>
      <c r="B35" s="44" t="inlineStr">
        <is>
          <t>Sunday</t>
        </is>
      </c>
      <c r="C35" s="44" t="inlineStr"/>
      <c r="D35" s="57">
        <f>'Goals &amp; Settings'!B5</f>
        <v/>
      </c>
      <c r="E35" s="58">
        <f>IF(C35="","",IF(C35&gt;=D35,1,0))</f>
        <v/>
      </c>
      <c r="F35" s="59">
        <f>IF(C35="","",C35-D35)</f>
        <v/>
      </c>
      <c r="G35" s="44" t="inlineStr"/>
    </row>
    <row r="36" ht="22" customHeight="1">
      <c r="A36" s="39" t="n">
        <v>46055</v>
      </c>
      <c r="B36" s="40" t="inlineStr">
        <is>
          <t>Monday</t>
        </is>
      </c>
      <c r="C36" s="40" t="inlineStr"/>
      <c r="D36" s="54">
        <f>'Goals &amp; Settings'!B5</f>
        <v/>
      </c>
      <c r="E36" s="55">
        <f>IF(C36="","",IF(C36&gt;=D36,1,0))</f>
        <v/>
      </c>
      <c r="F36" s="56">
        <f>IF(C36="","",C36-D36)</f>
        <v/>
      </c>
      <c r="G36" s="40" t="inlineStr"/>
    </row>
    <row r="37" ht="22" customHeight="1">
      <c r="A37" s="43" t="n">
        <v>46056</v>
      </c>
      <c r="B37" s="44" t="inlineStr">
        <is>
          <t>Tuesday</t>
        </is>
      </c>
      <c r="C37" s="44" t="inlineStr"/>
      <c r="D37" s="57">
        <f>'Goals &amp; Settings'!B5</f>
        <v/>
      </c>
      <c r="E37" s="58">
        <f>IF(C37="","",IF(C37&gt;=D37,1,0))</f>
        <v/>
      </c>
      <c r="F37" s="59">
        <f>IF(C37="","",C37-D37)</f>
        <v/>
      </c>
      <c r="G37" s="44" t="inlineStr"/>
    </row>
    <row r="38" ht="22" customHeight="1">
      <c r="A38" s="39" t="n">
        <v>46057</v>
      </c>
      <c r="B38" s="40" t="inlineStr">
        <is>
          <t>Wednesday</t>
        </is>
      </c>
      <c r="C38" s="40" t="inlineStr"/>
      <c r="D38" s="54">
        <f>'Goals &amp; Settings'!B5</f>
        <v/>
      </c>
      <c r="E38" s="55">
        <f>IF(C38="","",IF(C38&gt;=D38,1,0))</f>
        <v/>
      </c>
      <c r="F38" s="56">
        <f>IF(C38="","",C38-D38)</f>
        <v/>
      </c>
      <c r="G38" s="40" t="inlineStr"/>
    </row>
    <row r="39" ht="22" customHeight="1">
      <c r="A39" s="43" t="n">
        <v>46058</v>
      </c>
      <c r="B39" s="44" t="inlineStr">
        <is>
          <t>Thursday</t>
        </is>
      </c>
      <c r="C39" s="44" t="inlineStr"/>
      <c r="D39" s="57">
        <f>'Goals &amp; Settings'!B5</f>
        <v/>
      </c>
      <c r="E39" s="58">
        <f>IF(C39="","",IF(C39&gt;=D39,1,0))</f>
        <v/>
      </c>
      <c r="F39" s="59">
        <f>IF(C39="","",C39-D39)</f>
        <v/>
      </c>
      <c r="G39" s="44" t="inlineStr"/>
    </row>
    <row r="40" ht="22" customHeight="1">
      <c r="A40" s="39" t="n">
        <v>46059</v>
      </c>
      <c r="B40" s="40" t="inlineStr">
        <is>
          <t>Friday</t>
        </is>
      </c>
      <c r="C40" s="40" t="inlineStr"/>
      <c r="D40" s="54">
        <f>'Goals &amp; Settings'!B5</f>
        <v/>
      </c>
      <c r="E40" s="55">
        <f>IF(C40="","",IF(C40&gt;=D40,1,0))</f>
        <v/>
      </c>
      <c r="F40" s="56">
        <f>IF(C40="","",C40-D40)</f>
        <v/>
      </c>
      <c r="G40" s="40" t="inlineStr"/>
    </row>
    <row r="41" ht="22" customHeight="1">
      <c r="A41" s="43" t="n">
        <v>46060</v>
      </c>
      <c r="B41" s="44" t="inlineStr">
        <is>
          <t>Saturday</t>
        </is>
      </c>
      <c r="C41" s="44" t="inlineStr"/>
      <c r="D41" s="57">
        <f>'Goals &amp; Settings'!B5</f>
        <v/>
      </c>
      <c r="E41" s="58">
        <f>IF(C41="","",IF(C41&gt;=D41,1,0))</f>
        <v/>
      </c>
      <c r="F41" s="59">
        <f>IF(C41="","",C41-D41)</f>
        <v/>
      </c>
      <c r="G41" s="44" t="inlineStr"/>
    </row>
    <row r="42" ht="22" customHeight="1">
      <c r="A42" s="39" t="n">
        <v>46061</v>
      </c>
      <c r="B42" s="40" t="inlineStr">
        <is>
          <t>Sunday</t>
        </is>
      </c>
      <c r="C42" s="40" t="inlineStr"/>
      <c r="D42" s="54">
        <f>'Goals &amp; Settings'!B5</f>
        <v/>
      </c>
      <c r="E42" s="55">
        <f>IF(C42="","",IF(C42&gt;=D42,1,0))</f>
        <v/>
      </c>
      <c r="F42" s="56">
        <f>IF(C42="","",C42-D42)</f>
        <v/>
      </c>
      <c r="G42" s="40" t="inlineStr"/>
    </row>
    <row r="43" ht="22" customHeight="1">
      <c r="A43" s="43" t="n">
        <v>46062</v>
      </c>
      <c r="B43" s="44" t="inlineStr">
        <is>
          <t>Monday</t>
        </is>
      </c>
      <c r="C43" s="44" t="inlineStr"/>
      <c r="D43" s="57">
        <f>'Goals &amp; Settings'!B5</f>
        <v/>
      </c>
      <c r="E43" s="58">
        <f>IF(C43="","",IF(C43&gt;=D43,1,0))</f>
        <v/>
      </c>
      <c r="F43" s="59">
        <f>IF(C43="","",C43-D43)</f>
        <v/>
      </c>
      <c r="G43" s="44" t="inlineStr"/>
    </row>
    <row r="44" ht="22" customHeight="1">
      <c r="A44" s="39" t="n">
        <v>46063</v>
      </c>
      <c r="B44" s="40" t="inlineStr">
        <is>
          <t>Tuesday</t>
        </is>
      </c>
      <c r="C44" s="40" t="inlineStr"/>
      <c r="D44" s="54">
        <f>'Goals &amp; Settings'!B5</f>
        <v/>
      </c>
      <c r="E44" s="55">
        <f>IF(C44="","",IF(C44&gt;=D44,1,0))</f>
        <v/>
      </c>
      <c r="F44" s="56">
        <f>IF(C44="","",C44-D44)</f>
        <v/>
      </c>
      <c r="G44" s="40" t="inlineStr"/>
    </row>
    <row r="45" ht="22" customHeight="1">
      <c r="A45" s="43" t="n">
        <v>46064</v>
      </c>
      <c r="B45" s="44" t="inlineStr">
        <is>
          <t>Wednesday</t>
        </is>
      </c>
      <c r="C45" s="44" t="inlineStr"/>
      <c r="D45" s="57">
        <f>'Goals &amp; Settings'!B5</f>
        <v/>
      </c>
      <c r="E45" s="58">
        <f>IF(C45="","",IF(C45&gt;=D45,1,0))</f>
        <v/>
      </c>
      <c r="F45" s="59">
        <f>IF(C45="","",C45-D45)</f>
        <v/>
      </c>
      <c r="G45" s="44" t="inlineStr"/>
    </row>
    <row r="46" ht="22" customHeight="1">
      <c r="A46" s="39" t="n">
        <v>46065</v>
      </c>
      <c r="B46" s="40" t="inlineStr">
        <is>
          <t>Thursday</t>
        </is>
      </c>
      <c r="C46" s="40" t="inlineStr"/>
      <c r="D46" s="54">
        <f>'Goals &amp; Settings'!B5</f>
        <v/>
      </c>
      <c r="E46" s="55">
        <f>IF(C46="","",IF(C46&gt;=D46,1,0))</f>
        <v/>
      </c>
      <c r="F46" s="56">
        <f>IF(C46="","",C46-D46)</f>
        <v/>
      </c>
      <c r="G46" s="40" t="inlineStr"/>
    </row>
    <row r="47" ht="22" customHeight="1">
      <c r="A47" s="43" t="n">
        <v>46066</v>
      </c>
      <c r="B47" s="44" t="inlineStr">
        <is>
          <t>Friday</t>
        </is>
      </c>
      <c r="C47" s="44" t="inlineStr"/>
      <c r="D47" s="57">
        <f>'Goals &amp; Settings'!B5</f>
        <v/>
      </c>
      <c r="E47" s="58">
        <f>IF(C47="","",IF(C47&gt;=D47,1,0))</f>
        <v/>
      </c>
      <c r="F47" s="59">
        <f>IF(C47="","",C47-D47)</f>
        <v/>
      </c>
      <c r="G47" s="44" t="inlineStr"/>
    </row>
    <row r="48" ht="22" customHeight="1">
      <c r="A48" s="39" t="n">
        <v>46067</v>
      </c>
      <c r="B48" s="40" t="inlineStr">
        <is>
          <t>Saturday</t>
        </is>
      </c>
      <c r="C48" s="40" t="inlineStr"/>
      <c r="D48" s="54">
        <f>'Goals &amp; Settings'!B5</f>
        <v/>
      </c>
      <c r="E48" s="55">
        <f>IF(C48="","",IF(C48&gt;=D48,1,0))</f>
        <v/>
      </c>
      <c r="F48" s="56">
        <f>IF(C48="","",C48-D48)</f>
        <v/>
      </c>
      <c r="G48" s="40" t="inlineStr"/>
    </row>
    <row r="49" ht="22" customHeight="1">
      <c r="A49" s="43" t="n">
        <v>46068</v>
      </c>
      <c r="B49" s="44" t="inlineStr">
        <is>
          <t>Sunday</t>
        </is>
      </c>
      <c r="C49" s="44" t="inlineStr"/>
      <c r="D49" s="57">
        <f>'Goals &amp; Settings'!B5</f>
        <v/>
      </c>
      <c r="E49" s="58">
        <f>IF(C49="","",IF(C49&gt;=D49,1,0))</f>
        <v/>
      </c>
      <c r="F49" s="59">
        <f>IF(C49="","",C49-D49)</f>
        <v/>
      </c>
      <c r="G49" s="44" t="inlineStr"/>
    </row>
    <row r="50" ht="22" customHeight="1">
      <c r="A50" s="39" t="n">
        <v>46069</v>
      </c>
      <c r="B50" s="40" t="inlineStr">
        <is>
          <t>Monday</t>
        </is>
      </c>
      <c r="C50" s="40" t="inlineStr"/>
      <c r="D50" s="54">
        <f>'Goals &amp; Settings'!B5</f>
        <v/>
      </c>
      <c r="E50" s="55">
        <f>IF(C50="","",IF(C50&gt;=D50,1,0))</f>
        <v/>
      </c>
      <c r="F50" s="56">
        <f>IF(C50="","",C50-D50)</f>
        <v/>
      </c>
      <c r="G50" s="40" t="inlineStr"/>
    </row>
    <row r="51" ht="22" customHeight="1">
      <c r="A51" s="43" t="n">
        <v>46070</v>
      </c>
      <c r="B51" s="44" t="inlineStr">
        <is>
          <t>Tuesday</t>
        </is>
      </c>
      <c r="C51" s="44" t="inlineStr"/>
      <c r="D51" s="57">
        <f>'Goals &amp; Settings'!B5</f>
        <v/>
      </c>
      <c r="E51" s="58">
        <f>IF(C51="","",IF(C51&gt;=D51,1,0))</f>
        <v/>
      </c>
      <c r="F51" s="59">
        <f>IF(C51="","",C51-D51)</f>
        <v/>
      </c>
      <c r="G51" s="44" t="inlineStr"/>
    </row>
    <row r="52" ht="22" customHeight="1">
      <c r="A52" s="39" t="n">
        <v>46071</v>
      </c>
      <c r="B52" s="40" t="inlineStr">
        <is>
          <t>Wednesday</t>
        </is>
      </c>
      <c r="C52" s="40" t="inlineStr"/>
      <c r="D52" s="54">
        <f>'Goals &amp; Settings'!B5</f>
        <v/>
      </c>
      <c r="E52" s="55">
        <f>IF(C52="","",IF(C52&gt;=D52,1,0))</f>
        <v/>
      </c>
      <c r="F52" s="56">
        <f>IF(C52="","",C52-D52)</f>
        <v/>
      </c>
      <c r="G52" s="40" t="inlineStr"/>
    </row>
    <row r="53" ht="22" customHeight="1">
      <c r="A53" s="43" t="n">
        <v>46072</v>
      </c>
      <c r="B53" s="44" t="inlineStr">
        <is>
          <t>Thursday</t>
        </is>
      </c>
      <c r="C53" s="44" t="inlineStr"/>
      <c r="D53" s="57">
        <f>'Goals &amp; Settings'!B5</f>
        <v/>
      </c>
      <c r="E53" s="58">
        <f>IF(C53="","",IF(C53&gt;=D53,1,0))</f>
        <v/>
      </c>
      <c r="F53" s="59">
        <f>IF(C53="","",C53-D53)</f>
        <v/>
      </c>
      <c r="G53" s="44" t="inlineStr"/>
    </row>
    <row r="54" ht="22" customHeight="1">
      <c r="A54" s="39" t="n">
        <v>46073</v>
      </c>
      <c r="B54" s="40" t="inlineStr">
        <is>
          <t>Friday</t>
        </is>
      </c>
      <c r="C54" s="40" t="inlineStr"/>
      <c r="D54" s="54">
        <f>'Goals &amp; Settings'!B5</f>
        <v/>
      </c>
      <c r="E54" s="55">
        <f>IF(C54="","",IF(C54&gt;=D54,1,0))</f>
        <v/>
      </c>
      <c r="F54" s="56">
        <f>IF(C54="","",C54-D54)</f>
        <v/>
      </c>
      <c r="G54" s="40" t="inlineStr"/>
    </row>
    <row r="55" ht="22" customHeight="1">
      <c r="A55" s="43" t="n">
        <v>46074</v>
      </c>
      <c r="B55" s="44" t="inlineStr">
        <is>
          <t>Saturday</t>
        </is>
      </c>
      <c r="C55" s="44" t="inlineStr"/>
      <c r="D55" s="57">
        <f>'Goals &amp; Settings'!B5</f>
        <v/>
      </c>
      <c r="E55" s="58">
        <f>IF(C55="","",IF(C55&gt;=D55,1,0))</f>
        <v/>
      </c>
      <c r="F55" s="59">
        <f>IF(C55="","",C55-D55)</f>
        <v/>
      </c>
      <c r="G55" s="44" t="inlineStr"/>
    </row>
    <row r="56" ht="22" customHeight="1">
      <c r="A56" s="39" t="n">
        <v>46075</v>
      </c>
      <c r="B56" s="40" t="inlineStr">
        <is>
          <t>Sunday</t>
        </is>
      </c>
      <c r="C56" s="40" t="inlineStr"/>
      <c r="D56" s="54">
        <f>'Goals &amp; Settings'!B5</f>
        <v/>
      </c>
      <c r="E56" s="55">
        <f>IF(C56="","",IF(C56&gt;=D56,1,0))</f>
        <v/>
      </c>
      <c r="F56" s="56">
        <f>IF(C56="","",C56-D56)</f>
        <v/>
      </c>
      <c r="G56" s="40" t="inlineStr"/>
    </row>
    <row r="57" ht="22" customHeight="1">
      <c r="A57" s="43" t="n">
        <v>46076</v>
      </c>
      <c r="B57" s="44" t="inlineStr">
        <is>
          <t>Monday</t>
        </is>
      </c>
      <c r="C57" s="44" t="inlineStr"/>
      <c r="D57" s="57">
        <f>'Goals &amp; Settings'!B5</f>
        <v/>
      </c>
      <c r="E57" s="58">
        <f>IF(C57="","",IF(C57&gt;=D57,1,0))</f>
        <v/>
      </c>
      <c r="F57" s="59">
        <f>IF(C57="","",C57-D57)</f>
        <v/>
      </c>
      <c r="G57" s="44" t="inlineStr"/>
    </row>
    <row r="58" ht="22" customHeight="1">
      <c r="A58" s="39" t="n">
        <v>46077</v>
      </c>
      <c r="B58" s="40" t="inlineStr">
        <is>
          <t>Tuesday</t>
        </is>
      </c>
      <c r="C58" s="40" t="inlineStr"/>
      <c r="D58" s="54">
        <f>'Goals &amp; Settings'!B5</f>
        <v/>
      </c>
      <c r="E58" s="55">
        <f>IF(C58="","",IF(C58&gt;=D58,1,0))</f>
        <v/>
      </c>
      <c r="F58" s="56">
        <f>IF(C58="","",C58-D58)</f>
        <v/>
      </c>
      <c r="G58" s="40" t="inlineStr"/>
    </row>
    <row r="59" ht="22" customHeight="1">
      <c r="A59" s="43" t="n">
        <v>46078</v>
      </c>
      <c r="B59" s="44" t="inlineStr">
        <is>
          <t>Wednesday</t>
        </is>
      </c>
      <c r="C59" s="44" t="inlineStr"/>
      <c r="D59" s="57">
        <f>'Goals &amp; Settings'!B5</f>
        <v/>
      </c>
      <c r="E59" s="58">
        <f>IF(C59="","",IF(C59&gt;=D59,1,0))</f>
        <v/>
      </c>
      <c r="F59" s="59">
        <f>IF(C59="","",C59-D59)</f>
        <v/>
      </c>
      <c r="G59" s="44" t="inlineStr"/>
    </row>
    <row r="60" ht="22" customHeight="1">
      <c r="A60" s="39" t="n">
        <v>46079</v>
      </c>
      <c r="B60" s="40" t="inlineStr">
        <is>
          <t>Thursday</t>
        </is>
      </c>
      <c r="C60" s="40" t="inlineStr"/>
      <c r="D60" s="54">
        <f>'Goals &amp; Settings'!B5</f>
        <v/>
      </c>
      <c r="E60" s="55">
        <f>IF(C60="","",IF(C60&gt;=D60,1,0))</f>
        <v/>
      </c>
      <c r="F60" s="56">
        <f>IF(C60="","",C60-D60)</f>
        <v/>
      </c>
      <c r="G60" s="40" t="inlineStr"/>
    </row>
    <row r="61" ht="22" customHeight="1">
      <c r="A61" s="43" t="n">
        <v>46080</v>
      </c>
      <c r="B61" s="44" t="inlineStr">
        <is>
          <t>Friday</t>
        </is>
      </c>
      <c r="C61" s="44" t="inlineStr"/>
      <c r="D61" s="57">
        <f>'Goals &amp; Settings'!B5</f>
        <v/>
      </c>
      <c r="E61" s="58">
        <f>IF(C61="","",IF(C61&gt;=D61,1,0))</f>
        <v/>
      </c>
      <c r="F61" s="59">
        <f>IF(C61="","",C61-D61)</f>
        <v/>
      </c>
      <c r="G61" s="44" t="inlineStr"/>
    </row>
    <row r="62" ht="22" customHeight="1">
      <c r="A62" s="39" t="n">
        <v>46081</v>
      </c>
      <c r="B62" s="40" t="inlineStr">
        <is>
          <t>Saturday</t>
        </is>
      </c>
      <c r="C62" s="40" t="inlineStr"/>
      <c r="D62" s="54">
        <f>'Goals &amp; Settings'!B5</f>
        <v/>
      </c>
      <c r="E62" s="55">
        <f>IF(C62="","",IF(C62&gt;=D62,1,0))</f>
        <v/>
      </c>
      <c r="F62" s="56">
        <f>IF(C62="","",C62-D62)</f>
        <v/>
      </c>
      <c r="G62" s="40" t="inlineStr"/>
    </row>
    <row r="63" ht="22" customHeight="1">
      <c r="A63" s="43" t="n">
        <v>46082</v>
      </c>
      <c r="B63" s="44" t="inlineStr">
        <is>
          <t>Sunday</t>
        </is>
      </c>
      <c r="C63" s="44" t="inlineStr"/>
      <c r="D63" s="57">
        <f>'Goals &amp; Settings'!B5</f>
        <v/>
      </c>
      <c r="E63" s="58">
        <f>IF(C63="","",IF(C63&gt;=D63,1,0))</f>
        <v/>
      </c>
      <c r="F63" s="59">
        <f>IF(C63="","",C63-D63)</f>
        <v/>
      </c>
      <c r="G63" s="44" t="inlineStr"/>
    </row>
    <row r="64" ht="22" customHeight="1">
      <c r="A64" s="39" t="n">
        <v>46083</v>
      </c>
      <c r="B64" s="40" t="inlineStr">
        <is>
          <t>Monday</t>
        </is>
      </c>
      <c r="C64" s="40" t="inlineStr"/>
      <c r="D64" s="54">
        <f>'Goals &amp; Settings'!B5</f>
        <v/>
      </c>
      <c r="E64" s="55">
        <f>IF(C64="","",IF(C64&gt;=D64,1,0))</f>
        <v/>
      </c>
      <c r="F64" s="56">
        <f>IF(C64="","",C64-D64)</f>
        <v/>
      </c>
      <c r="G64" s="40" t="inlineStr"/>
    </row>
    <row r="65" ht="22" customHeight="1">
      <c r="A65" s="43" t="n">
        <v>46084</v>
      </c>
      <c r="B65" s="44" t="inlineStr">
        <is>
          <t>Tuesday</t>
        </is>
      </c>
      <c r="C65" s="44" t="inlineStr"/>
      <c r="D65" s="57">
        <f>'Goals &amp; Settings'!B5</f>
        <v/>
      </c>
      <c r="E65" s="58">
        <f>IF(C65="","",IF(C65&gt;=D65,1,0))</f>
        <v/>
      </c>
      <c r="F65" s="59">
        <f>IF(C65="","",C65-D65)</f>
        <v/>
      </c>
      <c r="G65" s="44" t="inlineStr"/>
    </row>
    <row r="66" ht="22" customHeight="1">
      <c r="A66" s="39" t="n">
        <v>46085</v>
      </c>
      <c r="B66" s="40" t="inlineStr">
        <is>
          <t>Wednesday</t>
        </is>
      </c>
      <c r="C66" s="40" t="inlineStr"/>
      <c r="D66" s="54">
        <f>'Goals &amp; Settings'!B5</f>
        <v/>
      </c>
      <c r="E66" s="55">
        <f>IF(C66="","",IF(C66&gt;=D66,1,0))</f>
        <v/>
      </c>
      <c r="F66" s="56">
        <f>IF(C66="","",C66-D66)</f>
        <v/>
      </c>
      <c r="G66" s="40" t="inlineStr"/>
    </row>
    <row r="67" ht="22" customHeight="1">
      <c r="A67" s="43" t="n">
        <v>46086</v>
      </c>
      <c r="B67" s="44" t="inlineStr">
        <is>
          <t>Thursday</t>
        </is>
      </c>
      <c r="C67" s="44" t="inlineStr"/>
      <c r="D67" s="57">
        <f>'Goals &amp; Settings'!B5</f>
        <v/>
      </c>
      <c r="E67" s="58">
        <f>IF(C67="","",IF(C67&gt;=D67,1,0))</f>
        <v/>
      </c>
      <c r="F67" s="59">
        <f>IF(C67="","",C67-D67)</f>
        <v/>
      </c>
      <c r="G67" s="44" t="inlineStr"/>
    </row>
    <row r="68" ht="22" customHeight="1">
      <c r="A68" s="39" t="n">
        <v>46087</v>
      </c>
      <c r="B68" s="40" t="inlineStr">
        <is>
          <t>Friday</t>
        </is>
      </c>
      <c r="C68" s="40" t="inlineStr"/>
      <c r="D68" s="54">
        <f>'Goals &amp; Settings'!B5</f>
        <v/>
      </c>
      <c r="E68" s="55">
        <f>IF(C68="","",IF(C68&gt;=D68,1,0))</f>
        <v/>
      </c>
      <c r="F68" s="56">
        <f>IF(C68="","",C68-D68)</f>
        <v/>
      </c>
      <c r="G68" s="40" t="inlineStr"/>
    </row>
    <row r="69" ht="22" customHeight="1">
      <c r="A69" s="43" t="n">
        <v>46088</v>
      </c>
      <c r="B69" s="44" t="inlineStr">
        <is>
          <t>Saturday</t>
        </is>
      </c>
      <c r="C69" s="44" t="inlineStr"/>
      <c r="D69" s="57">
        <f>'Goals &amp; Settings'!B5</f>
        <v/>
      </c>
      <c r="E69" s="58">
        <f>IF(C69="","",IF(C69&gt;=D69,1,0))</f>
        <v/>
      </c>
      <c r="F69" s="59">
        <f>IF(C69="","",C69-D69)</f>
        <v/>
      </c>
      <c r="G69" s="44" t="inlineStr"/>
    </row>
    <row r="70" ht="22" customHeight="1">
      <c r="A70" s="39" t="n">
        <v>46089</v>
      </c>
      <c r="B70" s="40" t="inlineStr">
        <is>
          <t>Sunday</t>
        </is>
      </c>
      <c r="C70" s="40" t="inlineStr"/>
      <c r="D70" s="54">
        <f>'Goals &amp; Settings'!B5</f>
        <v/>
      </c>
      <c r="E70" s="55">
        <f>IF(C70="","",IF(C70&gt;=D70,1,0))</f>
        <v/>
      </c>
      <c r="F70" s="56">
        <f>IF(C70="","",C70-D70)</f>
        <v/>
      </c>
      <c r="G70" s="40" t="inlineStr"/>
    </row>
    <row r="71" ht="22" customHeight="1">
      <c r="A71" s="43" t="n">
        <v>46090</v>
      </c>
      <c r="B71" s="44" t="inlineStr">
        <is>
          <t>Monday</t>
        </is>
      </c>
      <c r="C71" s="44" t="inlineStr"/>
      <c r="D71" s="57">
        <f>'Goals &amp; Settings'!B5</f>
        <v/>
      </c>
      <c r="E71" s="58">
        <f>IF(C71="","",IF(C71&gt;=D71,1,0))</f>
        <v/>
      </c>
      <c r="F71" s="59">
        <f>IF(C71="","",C71-D71)</f>
        <v/>
      </c>
      <c r="G71" s="44" t="inlineStr"/>
    </row>
    <row r="72" ht="22" customHeight="1">
      <c r="A72" s="39" t="n">
        <v>46091</v>
      </c>
      <c r="B72" s="40" t="inlineStr">
        <is>
          <t>Tuesday</t>
        </is>
      </c>
      <c r="C72" s="40" t="inlineStr"/>
      <c r="D72" s="54">
        <f>'Goals &amp; Settings'!B5</f>
        <v/>
      </c>
      <c r="E72" s="55">
        <f>IF(C72="","",IF(C72&gt;=D72,1,0))</f>
        <v/>
      </c>
      <c r="F72" s="56">
        <f>IF(C72="","",C72-D72)</f>
        <v/>
      </c>
      <c r="G72" s="40" t="inlineStr"/>
    </row>
    <row r="73" ht="22" customHeight="1">
      <c r="A73" s="43" t="n">
        <v>46092</v>
      </c>
      <c r="B73" s="44" t="inlineStr">
        <is>
          <t>Wednesday</t>
        </is>
      </c>
      <c r="C73" s="44" t="inlineStr"/>
      <c r="D73" s="57">
        <f>'Goals &amp; Settings'!B5</f>
        <v/>
      </c>
      <c r="E73" s="58">
        <f>IF(C73="","",IF(C73&gt;=D73,1,0))</f>
        <v/>
      </c>
      <c r="F73" s="59">
        <f>IF(C73="","",C73-D73)</f>
        <v/>
      </c>
      <c r="G73" s="44" t="inlineStr"/>
    </row>
    <row r="74" ht="22" customHeight="1">
      <c r="A74" s="39" t="n">
        <v>46093</v>
      </c>
      <c r="B74" s="40" t="inlineStr">
        <is>
          <t>Thursday</t>
        </is>
      </c>
      <c r="C74" s="40" t="inlineStr"/>
      <c r="D74" s="54">
        <f>'Goals &amp; Settings'!B5</f>
        <v/>
      </c>
      <c r="E74" s="55">
        <f>IF(C74="","",IF(C74&gt;=D74,1,0))</f>
        <v/>
      </c>
      <c r="F74" s="56">
        <f>IF(C74="","",C74-D74)</f>
        <v/>
      </c>
      <c r="G74" s="40" t="inlineStr"/>
    </row>
    <row r="75" ht="22" customHeight="1">
      <c r="A75" s="43" t="n">
        <v>46094</v>
      </c>
      <c r="B75" s="44" t="inlineStr">
        <is>
          <t>Friday</t>
        </is>
      </c>
      <c r="C75" s="44" t="inlineStr"/>
      <c r="D75" s="57">
        <f>'Goals &amp; Settings'!B5</f>
        <v/>
      </c>
      <c r="E75" s="58">
        <f>IF(C75="","",IF(C75&gt;=D75,1,0))</f>
        <v/>
      </c>
      <c r="F75" s="59">
        <f>IF(C75="","",C75-D75)</f>
        <v/>
      </c>
      <c r="G75" s="44" t="inlineStr"/>
    </row>
    <row r="76" ht="22" customHeight="1">
      <c r="A76" s="39" t="n">
        <v>46095</v>
      </c>
      <c r="B76" s="40" t="inlineStr">
        <is>
          <t>Saturday</t>
        </is>
      </c>
      <c r="C76" s="40" t="inlineStr"/>
      <c r="D76" s="54">
        <f>'Goals &amp; Settings'!B5</f>
        <v/>
      </c>
      <c r="E76" s="55">
        <f>IF(C76="","",IF(C76&gt;=D76,1,0))</f>
        <v/>
      </c>
      <c r="F76" s="56">
        <f>IF(C76="","",C76-D76)</f>
        <v/>
      </c>
      <c r="G76" s="40" t="inlineStr"/>
    </row>
    <row r="77" ht="22" customHeight="1">
      <c r="A77" s="43" t="n">
        <v>46096</v>
      </c>
      <c r="B77" s="44" t="inlineStr">
        <is>
          <t>Sunday</t>
        </is>
      </c>
      <c r="C77" s="44" t="inlineStr"/>
      <c r="D77" s="57">
        <f>'Goals &amp; Settings'!B5</f>
        <v/>
      </c>
      <c r="E77" s="58">
        <f>IF(C77="","",IF(C77&gt;=D77,1,0))</f>
        <v/>
      </c>
      <c r="F77" s="59">
        <f>IF(C77="","",C77-D77)</f>
        <v/>
      </c>
      <c r="G77" s="44" t="inlineStr"/>
    </row>
    <row r="78" ht="22" customHeight="1">
      <c r="A78" s="39" t="n">
        <v>46097</v>
      </c>
      <c r="B78" s="40" t="inlineStr">
        <is>
          <t>Monday</t>
        </is>
      </c>
      <c r="C78" s="40" t="inlineStr"/>
      <c r="D78" s="54">
        <f>'Goals &amp; Settings'!B5</f>
        <v/>
      </c>
      <c r="E78" s="55">
        <f>IF(C78="","",IF(C78&gt;=D78,1,0))</f>
        <v/>
      </c>
      <c r="F78" s="56">
        <f>IF(C78="","",C78-D78)</f>
        <v/>
      </c>
      <c r="G78" s="40" t="inlineStr"/>
    </row>
    <row r="79" ht="22" customHeight="1">
      <c r="A79" s="43" t="n">
        <v>46098</v>
      </c>
      <c r="B79" s="44" t="inlineStr">
        <is>
          <t>Tuesday</t>
        </is>
      </c>
      <c r="C79" s="44" t="inlineStr"/>
      <c r="D79" s="57">
        <f>'Goals &amp; Settings'!B5</f>
        <v/>
      </c>
      <c r="E79" s="58">
        <f>IF(C79="","",IF(C79&gt;=D79,1,0))</f>
        <v/>
      </c>
      <c r="F79" s="59">
        <f>IF(C79="","",C79-D79)</f>
        <v/>
      </c>
      <c r="G79" s="44" t="inlineStr"/>
    </row>
    <row r="80" ht="22" customHeight="1">
      <c r="A80" s="39" t="n">
        <v>46099</v>
      </c>
      <c r="B80" s="40" t="inlineStr">
        <is>
          <t>Wednesday</t>
        </is>
      </c>
      <c r="C80" s="40" t="inlineStr"/>
      <c r="D80" s="54">
        <f>'Goals &amp; Settings'!B5</f>
        <v/>
      </c>
      <c r="E80" s="55">
        <f>IF(C80="","",IF(C80&gt;=D80,1,0))</f>
        <v/>
      </c>
      <c r="F80" s="56">
        <f>IF(C80="","",C80-D80)</f>
        <v/>
      </c>
      <c r="G80" s="40" t="inlineStr"/>
    </row>
    <row r="81" ht="22" customHeight="1">
      <c r="A81" s="43" t="n">
        <v>46100</v>
      </c>
      <c r="B81" s="44" t="inlineStr">
        <is>
          <t>Thursday</t>
        </is>
      </c>
      <c r="C81" s="44" t="inlineStr"/>
      <c r="D81" s="57">
        <f>'Goals &amp; Settings'!B5</f>
        <v/>
      </c>
      <c r="E81" s="58">
        <f>IF(C81="","",IF(C81&gt;=D81,1,0))</f>
        <v/>
      </c>
      <c r="F81" s="59">
        <f>IF(C81="","",C81-D81)</f>
        <v/>
      </c>
      <c r="G81" s="44" t="inlineStr"/>
    </row>
    <row r="82" ht="22" customHeight="1">
      <c r="A82" s="39" t="n">
        <v>46101</v>
      </c>
      <c r="B82" s="40" t="inlineStr">
        <is>
          <t>Friday</t>
        </is>
      </c>
      <c r="C82" s="40" t="inlineStr"/>
      <c r="D82" s="54">
        <f>'Goals &amp; Settings'!B5</f>
        <v/>
      </c>
      <c r="E82" s="55">
        <f>IF(C82="","",IF(C82&gt;=D82,1,0))</f>
        <v/>
      </c>
      <c r="F82" s="56">
        <f>IF(C82="","",C82-D82)</f>
        <v/>
      </c>
      <c r="G82" s="40" t="inlineStr"/>
    </row>
    <row r="83" ht="22" customHeight="1">
      <c r="A83" s="43" t="n">
        <v>46102</v>
      </c>
      <c r="B83" s="44" t="inlineStr">
        <is>
          <t>Saturday</t>
        </is>
      </c>
      <c r="C83" s="44" t="inlineStr"/>
      <c r="D83" s="57">
        <f>'Goals &amp; Settings'!B5</f>
        <v/>
      </c>
      <c r="E83" s="58">
        <f>IF(C83="","",IF(C83&gt;=D83,1,0))</f>
        <v/>
      </c>
      <c r="F83" s="59">
        <f>IF(C83="","",C83-D83)</f>
        <v/>
      </c>
      <c r="G83" s="44" t="inlineStr"/>
    </row>
    <row r="84" ht="22" customHeight="1">
      <c r="A84" s="39" t="n">
        <v>46103</v>
      </c>
      <c r="B84" s="40" t="inlineStr">
        <is>
          <t>Sunday</t>
        </is>
      </c>
      <c r="C84" s="40" t="inlineStr"/>
      <c r="D84" s="54">
        <f>'Goals &amp; Settings'!B5</f>
        <v/>
      </c>
      <c r="E84" s="55">
        <f>IF(C84="","",IF(C84&gt;=D84,1,0))</f>
        <v/>
      </c>
      <c r="F84" s="56">
        <f>IF(C84="","",C84-D84)</f>
        <v/>
      </c>
      <c r="G84" s="40" t="inlineStr"/>
    </row>
    <row r="85" ht="22" customHeight="1">
      <c r="A85" s="43" t="n">
        <v>46104</v>
      </c>
      <c r="B85" s="44" t="inlineStr">
        <is>
          <t>Monday</t>
        </is>
      </c>
      <c r="C85" s="44" t="inlineStr"/>
      <c r="D85" s="57">
        <f>'Goals &amp; Settings'!B5</f>
        <v/>
      </c>
      <c r="E85" s="58">
        <f>IF(C85="","",IF(C85&gt;=D85,1,0))</f>
        <v/>
      </c>
      <c r="F85" s="59">
        <f>IF(C85="","",C85-D85)</f>
        <v/>
      </c>
      <c r="G85" s="44" t="inlineStr"/>
    </row>
    <row r="86" ht="22" customHeight="1">
      <c r="A86" s="39" t="n">
        <v>46105</v>
      </c>
      <c r="B86" s="40" t="inlineStr">
        <is>
          <t>Tuesday</t>
        </is>
      </c>
      <c r="C86" s="40" t="inlineStr"/>
      <c r="D86" s="54">
        <f>'Goals &amp; Settings'!B5</f>
        <v/>
      </c>
      <c r="E86" s="55">
        <f>IF(C86="","",IF(C86&gt;=D86,1,0))</f>
        <v/>
      </c>
      <c r="F86" s="56">
        <f>IF(C86="","",C86-D86)</f>
        <v/>
      </c>
      <c r="G86" s="40" t="inlineStr"/>
    </row>
    <row r="87" ht="22" customHeight="1">
      <c r="A87" s="43" t="n">
        <v>46106</v>
      </c>
      <c r="B87" s="44" t="inlineStr">
        <is>
          <t>Wednesday</t>
        </is>
      </c>
      <c r="C87" s="44" t="inlineStr"/>
      <c r="D87" s="57">
        <f>'Goals &amp; Settings'!B5</f>
        <v/>
      </c>
      <c r="E87" s="58">
        <f>IF(C87="","",IF(C87&gt;=D87,1,0))</f>
        <v/>
      </c>
      <c r="F87" s="59">
        <f>IF(C87="","",C87-D87)</f>
        <v/>
      </c>
      <c r="G87" s="44" t="inlineStr"/>
    </row>
    <row r="88" ht="22" customHeight="1">
      <c r="A88" s="39" t="n">
        <v>46107</v>
      </c>
      <c r="B88" s="40" t="inlineStr">
        <is>
          <t>Thursday</t>
        </is>
      </c>
      <c r="C88" s="40" t="inlineStr"/>
      <c r="D88" s="54">
        <f>'Goals &amp; Settings'!B5</f>
        <v/>
      </c>
      <c r="E88" s="55">
        <f>IF(C88="","",IF(C88&gt;=D88,1,0))</f>
        <v/>
      </c>
      <c r="F88" s="56">
        <f>IF(C88="","",C88-D88)</f>
        <v/>
      </c>
      <c r="G88" s="40" t="inlineStr"/>
    </row>
    <row r="89" ht="22" customHeight="1">
      <c r="A89" s="43" t="n">
        <v>46108</v>
      </c>
      <c r="B89" s="44" t="inlineStr">
        <is>
          <t>Friday</t>
        </is>
      </c>
      <c r="C89" s="44" t="inlineStr"/>
      <c r="D89" s="57">
        <f>'Goals &amp; Settings'!B5</f>
        <v/>
      </c>
      <c r="E89" s="58">
        <f>IF(C89="","",IF(C89&gt;=D89,1,0))</f>
        <v/>
      </c>
      <c r="F89" s="59">
        <f>IF(C89="","",C89-D89)</f>
        <v/>
      </c>
      <c r="G89" s="44" t="inlineStr"/>
    </row>
    <row r="90" ht="22" customHeight="1">
      <c r="A90" s="39" t="n">
        <v>46109</v>
      </c>
      <c r="B90" s="40" t="inlineStr">
        <is>
          <t>Saturday</t>
        </is>
      </c>
      <c r="C90" s="40" t="inlineStr"/>
      <c r="D90" s="54">
        <f>'Goals &amp; Settings'!B5</f>
        <v/>
      </c>
      <c r="E90" s="55">
        <f>IF(C90="","",IF(C90&gt;=D90,1,0))</f>
        <v/>
      </c>
      <c r="F90" s="56">
        <f>IF(C90="","",C90-D90)</f>
        <v/>
      </c>
      <c r="G90" s="40" t="inlineStr"/>
    </row>
    <row r="91" ht="22" customHeight="1">
      <c r="A91" s="43" t="n">
        <v>46110</v>
      </c>
      <c r="B91" s="44" t="inlineStr">
        <is>
          <t>Sunday</t>
        </is>
      </c>
      <c r="C91" s="44" t="inlineStr"/>
      <c r="D91" s="57">
        <f>'Goals &amp; Settings'!B5</f>
        <v/>
      </c>
      <c r="E91" s="58">
        <f>IF(C91="","",IF(C91&gt;=D91,1,0))</f>
        <v/>
      </c>
      <c r="F91" s="59">
        <f>IF(C91="","",C91-D91)</f>
        <v/>
      </c>
      <c r="G91" s="44" t="inlineStr"/>
    </row>
    <row r="92" ht="22" customHeight="1">
      <c r="A92" s="39" t="n">
        <v>46111</v>
      </c>
      <c r="B92" s="40" t="inlineStr">
        <is>
          <t>Monday</t>
        </is>
      </c>
      <c r="C92" s="40" t="inlineStr"/>
      <c r="D92" s="54">
        <f>'Goals &amp; Settings'!B5</f>
        <v/>
      </c>
      <c r="E92" s="55">
        <f>IF(C92="","",IF(C92&gt;=D92,1,0))</f>
        <v/>
      </c>
      <c r="F92" s="56">
        <f>IF(C92="","",C92-D92)</f>
        <v/>
      </c>
      <c r="G92" s="40" t="inlineStr"/>
    </row>
    <row r="93" ht="22" customHeight="1">
      <c r="A93" s="43" t="n">
        <v>46112</v>
      </c>
      <c r="B93" s="44" t="inlineStr">
        <is>
          <t>Tuesday</t>
        </is>
      </c>
      <c r="C93" s="44" t="inlineStr"/>
      <c r="D93" s="57">
        <f>'Goals &amp; Settings'!B5</f>
        <v/>
      </c>
      <c r="E93" s="58">
        <f>IF(C93="","",IF(C93&gt;=D93,1,0))</f>
        <v/>
      </c>
      <c r="F93" s="59">
        <f>IF(C93="","",C93-D93)</f>
        <v/>
      </c>
      <c r="G93" s="44" t="inlineStr"/>
    </row>
    <row r="94" ht="22" customHeight="1">
      <c r="A94" s="39" t="n">
        <v>46113</v>
      </c>
      <c r="B94" s="40" t="inlineStr">
        <is>
          <t>Wednesday</t>
        </is>
      </c>
      <c r="C94" s="40" t="inlineStr"/>
      <c r="D94" s="54">
        <f>'Goals &amp; Settings'!B5</f>
        <v/>
      </c>
      <c r="E94" s="55">
        <f>IF(C94="","",IF(C94&gt;=D94,1,0))</f>
        <v/>
      </c>
      <c r="F94" s="56">
        <f>IF(C94="","",C94-D94)</f>
        <v/>
      </c>
      <c r="G94" s="40" t="inlineStr"/>
    </row>
    <row r="95" ht="22" customHeight="1">
      <c r="A95" s="43" t="n">
        <v>46114</v>
      </c>
      <c r="B95" s="44" t="inlineStr">
        <is>
          <t>Thursday</t>
        </is>
      </c>
      <c r="C95" s="44" t="inlineStr"/>
      <c r="D95" s="57">
        <f>'Goals &amp; Settings'!B5</f>
        <v/>
      </c>
      <c r="E95" s="58">
        <f>IF(C95="","",IF(C95&gt;=D95,1,0))</f>
        <v/>
      </c>
      <c r="F95" s="59">
        <f>IF(C95="","",C95-D95)</f>
        <v/>
      </c>
      <c r="G95" s="44" t="inlineStr"/>
    </row>
    <row r="96" ht="22" customHeight="1">
      <c r="A96" s="39" t="n">
        <v>46115</v>
      </c>
      <c r="B96" s="40" t="inlineStr">
        <is>
          <t>Friday</t>
        </is>
      </c>
      <c r="C96" s="40" t="inlineStr"/>
      <c r="D96" s="54">
        <f>'Goals &amp; Settings'!B5</f>
        <v/>
      </c>
      <c r="E96" s="55">
        <f>IF(C96="","",IF(C96&gt;=D96,1,0))</f>
        <v/>
      </c>
      <c r="F96" s="56">
        <f>IF(C96="","",C96-D96)</f>
        <v/>
      </c>
      <c r="G96" s="40" t="inlineStr"/>
    </row>
    <row r="97" ht="22" customHeight="1">
      <c r="A97" s="43" t="n">
        <v>46116</v>
      </c>
      <c r="B97" s="44" t="inlineStr">
        <is>
          <t>Saturday</t>
        </is>
      </c>
      <c r="C97" s="44" t="inlineStr"/>
      <c r="D97" s="57">
        <f>'Goals &amp; Settings'!B5</f>
        <v/>
      </c>
      <c r="E97" s="58">
        <f>IF(C97="","",IF(C97&gt;=D97,1,0))</f>
        <v/>
      </c>
      <c r="F97" s="59">
        <f>IF(C97="","",C97-D97)</f>
        <v/>
      </c>
      <c r="G97" s="44" t="inlineStr"/>
    </row>
    <row r="98" ht="22" customHeight="1">
      <c r="A98" s="39" t="n">
        <v>46117</v>
      </c>
      <c r="B98" s="40" t="inlineStr">
        <is>
          <t>Sunday</t>
        </is>
      </c>
      <c r="C98" s="40" t="inlineStr"/>
      <c r="D98" s="54">
        <f>'Goals &amp; Settings'!B5</f>
        <v/>
      </c>
      <c r="E98" s="55">
        <f>IF(C98="","",IF(C98&gt;=D98,1,0))</f>
        <v/>
      </c>
      <c r="F98" s="56">
        <f>IF(C98="","",C98-D98)</f>
        <v/>
      </c>
      <c r="G98" s="40" t="inlineStr"/>
    </row>
    <row r="99" ht="22" customHeight="1">
      <c r="A99" s="43" t="n">
        <v>46118</v>
      </c>
      <c r="B99" s="44" t="inlineStr">
        <is>
          <t>Monday</t>
        </is>
      </c>
      <c r="C99" s="44" t="inlineStr"/>
      <c r="D99" s="57">
        <f>'Goals &amp; Settings'!B5</f>
        <v/>
      </c>
      <c r="E99" s="58">
        <f>IF(C99="","",IF(C99&gt;=D99,1,0))</f>
        <v/>
      </c>
      <c r="F99" s="59">
        <f>IF(C99="","",C99-D99)</f>
        <v/>
      </c>
      <c r="G99" s="44" t="inlineStr"/>
    </row>
    <row r="100" ht="22" customHeight="1">
      <c r="A100" s="39" t="n">
        <v>46119</v>
      </c>
      <c r="B100" s="40" t="inlineStr">
        <is>
          <t>Tuesday</t>
        </is>
      </c>
      <c r="C100" s="40" t="inlineStr"/>
      <c r="D100" s="54">
        <f>'Goals &amp; Settings'!B5</f>
        <v/>
      </c>
      <c r="E100" s="55">
        <f>IF(C100="","",IF(C100&gt;=D100,1,0))</f>
        <v/>
      </c>
      <c r="F100" s="56">
        <f>IF(C100="","",C100-D100)</f>
        <v/>
      </c>
      <c r="G100" s="40" t="inlineStr"/>
    </row>
    <row r="101" ht="22" customHeight="1">
      <c r="A101" s="43" t="n">
        <v>46120</v>
      </c>
      <c r="B101" s="44" t="inlineStr">
        <is>
          <t>Wednesday</t>
        </is>
      </c>
      <c r="C101" s="44" t="inlineStr"/>
      <c r="D101" s="57">
        <f>'Goals &amp; Settings'!B5</f>
        <v/>
      </c>
      <c r="E101" s="58">
        <f>IF(C101="","",IF(C101&gt;=D101,1,0))</f>
        <v/>
      </c>
      <c r="F101" s="59">
        <f>IF(C101="","",C101-D101)</f>
        <v/>
      </c>
      <c r="G101" s="44" t="inlineStr"/>
    </row>
    <row r="102" ht="22" customHeight="1">
      <c r="A102" s="39" t="n">
        <v>46121</v>
      </c>
      <c r="B102" s="40" t="inlineStr">
        <is>
          <t>Thursday</t>
        </is>
      </c>
      <c r="C102" s="40" t="inlineStr"/>
      <c r="D102" s="54">
        <f>'Goals &amp; Settings'!B5</f>
        <v/>
      </c>
      <c r="E102" s="55">
        <f>IF(C102="","",IF(C102&gt;=D102,1,0))</f>
        <v/>
      </c>
      <c r="F102" s="56">
        <f>IF(C102="","",C102-D102)</f>
        <v/>
      </c>
      <c r="G102" s="40" t="inlineStr"/>
    </row>
    <row r="103" ht="22" customHeight="1">
      <c r="A103" s="43" t="n">
        <v>46122</v>
      </c>
      <c r="B103" s="44" t="inlineStr">
        <is>
          <t>Friday</t>
        </is>
      </c>
      <c r="C103" s="44" t="inlineStr"/>
      <c r="D103" s="57">
        <f>'Goals &amp; Settings'!B5</f>
        <v/>
      </c>
      <c r="E103" s="58">
        <f>IF(C103="","",IF(C103&gt;=D103,1,0))</f>
        <v/>
      </c>
      <c r="F103" s="59">
        <f>IF(C103="","",C103-D103)</f>
        <v/>
      </c>
      <c r="G103" s="44" t="inlineStr"/>
    </row>
    <row r="104" ht="22" customHeight="1">
      <c r="A104" s="39" t="n">
        <v>46123</v>
      </c>
      <c r="B104" s="40" t="inlineStr">
        <is>
          <t>Saturday</t>
        </is>
      </c>
      <c r="C104" s="40" t="inlineStr"/>
      <c r="D104" s="54">
        <f>'Goals &amp; Settings'!B5</f>
        <v/>
      </c>
      <c r="E104" s="55">
        <f>IF(C104="","",IF(C104&gt;=D104,1,0))</f>
        <v/>
      </c>
      <c r="F104" s="56">
        <f>IF(C104="","",C104-D104)</f>
        <v/>
      </c>
      <c r="G104" s="40" t="inlineStr"/>
    </row>
    <row r="105" ht="22" customHeight="1">
      <c r="A105" s="43" t="n">
        <v>46124</v>
      </c>
      <c r="B105" s="44" t="inlineStr">
        <is>
          <t>Sunday</t>
        </is>
      </c>
      <c r="C105" s="44" t="inlineStr"/>
      <c r="D105" s="57">
        <f>'Goals &amp; Settings'!B5</f>
        <v/>
      </c>
      <c r="E105" s="58">
        <f>IF(C105="","",IF(C105&gt;=D105,1,0))</f>
        <v/>
      </c>
      <c r="F105" s="59">
        <f>IF(C105="","",C105-D105)</f>
        <v/>
      </c>
      <c r="G105" s="44" t="inlineStr"/>
    </row>
    <row r="106" ht="22" customHeight="1">
      <c r="A106" s="39" t="n">
        <v>46125</v>
      </c>
      <c r="B106" s="40" t="inlineStr">
        <is>
          <t>Monday</t>
        </is>
      </c>
      <c r="C106" s="40" t="inlineStr"/>
      <c r="D106" s="54">
        <f>'Goals &amp; Settings'!B5</f>
        <v/>
      </c>
      <c r="E106" s="55">
        <f>IF(C106="","",IF(C106&gt;=D106,1,0))</f>
        <v/>
      </c>
      <c r="F106" s="56">
        <f>IF(C106="","",C106-D106)</f>
        <v/>
      </c>
      <c r="G106" s="40" t="inlineStr"/>
    </row>
    <row r="107" ht="22" customHeight="1">
      <c r="A107" s="43" t="n">
        <v>46126</v>
      </c>
      <c r="B107" s="44" t="inlineStr">
        <is>
          <t>Tuesday</t>
        </is>
      </c>
      <c r="C107" s="44" t="inlineStr"/>
      <c r="D107" s="57">
        <f>'Goals &amp; Settings'!B5</f>
        <v/>
      </c>
      <c r="E107" s="58">
        <f>IF(C107="","",IF(C107&gt;=D107,1,0))</f>
        <v/>
      </c>
      <c r="F107" s="59">
        <f>IF(C107="","",C107-D107)</f>
        <v/>
      </c>
      <c r="G107" s="44" t="inlineStr"/>
    </row>
    <row r="108" ht="22" customHeight="1">
      <c r="A108" s="39" t="n">
        <v>46127</v>
      </c>
      <c r="B108" s="40" t="inlineStr">
        <is>
          <t>Wednesday</t>
        </is>
      </c>
      <c r="C108" s="40" t="inlineStr"/>
      <c r="D108" s="54">
        <f>'Goals &amp; Settings'!B5</f>
        <v/>
      </c>
      <c r="E108" s="55">
        <f>IF(C108="","",IF(C108&gt;=D108,1,0))</f>
        <v/>
      </c>
      <c r="F108" s="56">
        <f>IF(C108="","",C108-D108)</f>
        <v/>
      </c>
      <c r="G108" s="40" t="inlineStr"/>
    </row>
    <row r="109" ht="22" customHeight="1">
      <c r="A109" s="43" t="n">
        <v>46128</v>
      </c>
      <c r="B109" s="44" t="inlineStr">
        <is>
          <t>Thursday</t>
        </is>
      </c>
      <c r="C109" s="44" t="inlineStr"/>
      <c r="D109" s="57">
        <f>'Goals &amp; Settings'!B5</f>
        <v/>
      </c>
      <c r="E109" s="58">
        <f>IF(C109="","",IF(C109&gt;=D109,1,0))</f>
        <v/>
      </c>
      <c r="F109" s="59">
        <f>IF(C109="","",C109-D109)</f>
        <v/>
      </c>
      <c r="G109" s="44" t="inlineStr"/>
    </row>
    <row r="110" ht="22" customHeight="1">
      <c r="A110" s="39" t="n">
        <v>46129</v>
      </c>
      <c r="B110" s="40" t="inlineStr">
        <is>
          <t>Friday</t>
        </is>
      </c>
      <c r="C110" s="40" t="inlineStr"/>
      <c r="D110" s="54">
        <f>'Goals &amp; Settings'!B5</f>
        <v/>
      </c>
      <c r="E110" s="55">
        <f>IF(C110="","",IF(C110&gt;=D110,1,0))</f>
        <v/>
      </c>
      <c r="F110" s="56">
        <f>IF(C110="","",C110-D110)</f>
        <v/>
      </c>
      <c r="G110" s="40" t="inlineStr"/>
    </row>
    <row r="111" ht="22" customHeight="1">
      <c r="A111" s="43" t="n">
        <v>46130</v>
      </c>
      <c r="B111" s="44" t="inlineStr">
        <is>
          <t>Saturday</t>
        </is>
      </c>
      <c r="C111" s="44" t="inlineStr"/>
      <c r="D111" s="57">
        <f>'Goals &amp; Settings'!B5</f>
        <v/>
      </c>
      <c r="E111" s="58">
        <f>IF(C111="","",IF(C111&gt;=D111,1,0))</f>
        <v/>
      </c>
      <c r="F111" s="59">
        <f>IF(C111="","",C111-D111)</f>
        <v/>
      </c>
      <c r="G111" s="44" t="inlineStr"/>
    </row>
    <row r="112" ht="22" customHeight="1">
      <c r="A112" s="39" t="n">
        <v>46131</v>
      </c>
      <c r="B112" s="40" t="inlineStr">
        <is>
          <t>Sunday</t>
        </is>
      </c>
      <c r="C112" s="40" t="inlineStr"/>
      <c r="D112" s="54">
        <f>'Goals &amp; Settings'!B5</f>
        <v/>
      </c>
      <c r="E112" s="55">
        <f>IF(C112="","",IF(C112&gt;=D112,1,0))</f>
        <v/>
      </c>
      <c r="F112" s="56">
        <f>IF(C112="","",C112-D112)</f>
        <v/>
      </c>
      <c r="G112" s="40" t="inlineStr"/>
    </row>
    <row r="113" ht="22" customHeight="1">
      <c r="A113" s="43" t="n">
        <v>46132</v>
      </c>
      <c r="B113" s="44" t="inlineStr">
        <is>
          <t>Monday</t>
        </is>
      </c>
      <c r="C113" s="44" t="inlineStr"/>
      <c r="D113" s="57">
        <f>'Goals &amp; Settings'!B5</f>
        <v/>
      </c>
      <c r="E113" s="58">
        <f>IF(C113="","",IF(C113&gt;=D113,1,0))</f>
        <v/>
      </c>
      <c r="F113" s="59">
        <f>IF(C113="","",C113-D113)</f>
        <v/>
      </c>
      <c r="G113" s="44" t="inlineStr"/>
    </row>
    <row r="114" ht="22" customHeight="1">
      <c r="A114" s="39" t="n">
        <v>46133</v>
      </c>
      <c r="B114" s="40" t="inlineStr">
        <is>
          <t>Tuesday</t>
        </is>
      </c>
      <c r="C114" s="40" t="inlineStr"/>
      <c r="D114" s="54">
        <f>'Goals &amp; Settings'!B5</f>
        <v/>
      </c>
      <c r="E114" s="55">
        <f>IF(C114="","",IF(C114&gt;=D114,1,0))</f>
        <v/>
      </c>
      <c r="F114" s="56">
        <f>IF(C114="","",C114-D114)</f>
        <v/>
      </c>
      <c r="G114" s="40" t="inlineStr"/>
    </row>
    <row r="115" ht="22" customHeight="1">
      <c r="A115" s="43" t="n">
        <v>46134</v>
      </c>
      <c r="B115" s="44" t="inlineStr">
        <is>
          <t>Wednesday</t>
        </is>
      </c>
      <c r="C115" s="44" t="inlineStr"/>
      <c r="D115" s="57">
        <f>'Goals &amp; Settings'!B5</f>
        <v/>
      </c>
      <c r="E115" s="58">
        <f>IF(C115="","",IF(C115&gt;=D115,1,0))</f>
        <v/>
      </c>
      <c r="F115" s="59">
        <f>IF(C115="","",C115-D115)</f>
        <v/>
      </c>
      <c r="G115" s="44" t="inlineStr"/>
    </row>
    <row r="116" ht="22" customHeight="1">
      <c r="A116" s="39" t="n">
        <v>46135</v>
      </c>
      <c r="B116" s="40" t="inlineStr">
        <is>
          <t>Thursday</t>
        </is>
      </c>
      <c r="C116" s="40" t="inlineStr"/>
      <c r="D116" s="54">
        <f>'Goals &amp; Settings'!B5</f>
        <v/>
      </c>
      <c r="E116" s="55">
        <f>IF(C116="","",IF(C116&gt;=D116,1,0))</f>
        <v/>
      </c>
      <c r="F116" s="56">
        <f>IF(C116="","",C116-D116)</f>
        <v/>
      </c>
      <c r="G116" s="40" t="inlineStr"/>
    </row>
    <row r="117" ht="22" customHeight="1">
      <c r="A117" s="43" t="n">
        <v>46136</v>
      </c>
      <c r="B117" s="44" t="inlineStr">
        <is>
          <t>Friday</t>
        </is>
      </c>
      <c r="C117" s="44" t="inlineStr"/>
      <c r="D117" s="57">
        <f>'Goals &amp; Settings'!B5</f>
        <v/>
      </c>
      <c r="E117" s="58">
        <f>IF(C117="","",IF(C117&gt;=D117,1,0))</f>
        <v/>
      </c>
      <c r="F117" s="59">
        <f>IF(C117="","",C117-D117)</f>
        <v/>
      </c>
      <c r="G117" s="44" t="inlineStr"/>
    </row>
    <row r="118" ht="22" customHeight="1">
      <c r="A118" s="39" t="n">
        <v>46137</v>
      </c>
      <c r="B118" s="40" t="inlineStr">
        <is>
          <t>Saturday</t>
        </is>
      </c>
      <c r="C118" s="40" t="inlineStr"/>
      <c r="D118" s="54">
        <f>'Goals &amp; Settings'!B5</f>
        <v/>
      </c>
      <c r="E118" s="55">
        <f>IF(C118="","",IF(C118&gt;=D118,1,0))</f>
        <v/>
      </c>
      <c r="F118" s="56">
        <f>IF(C118="","",C118-D118)</f>
        <v/>
      </c>
      <c r="G118" s="40" t="inlineStr"/>
    </row>
    <row r="119" ht="22" customHeight="1">
      <c r="A119" s="43" t="n">
        <v>46138</v>
      </c>
      <c r="B119" s="44" t="inlineStr">
        <is>
          <t>Sunday</t>
        </is>
      </c>
      <c r="C119" s="44" t="inlineStr"/>
      <c r="D119" s="57">
        <f>'Goals &amp; Settings'!B5</f>
        <v/>
      </c>
      <c r="E119" s="58">
        <f>IF(C119="","",IF(C119&gt;=D119,1,0))</f>
        <v/>
      </c>
      <c r="F119" s="59">
        <f>IF(C119="","",C119-D119)</f>
        <v/>
      </c>
      <c r="G119" s="44" t="inlineStr"/>
    </row>
    <row r="120" ht="22" customHeight="1">
      <c r="A120" s="39" t="n">
        <v>46139</v>
      </c>
      <c r="B120" s="40" t="inlineStr">
        <is>
          <t>Monday</t>
        </is>
      </c>
      <c r="C120" s="40" t="inlineStr"/>
      <c r="D120" s="54">
        <f>'Goals &amp; Settings'!B5</f>
        <v/>
      </c>
      <c r="E120" s="55">
        <f>IF(C120="","",IF(C120&gt;=D120,1,0))</f>
        <v/>
      </c>
      <c r="F120" s="56">
        <f>IF(C120="","",C120-D120)</f>
        <v/>
      </c>
      <c r="G120" s="40" t="inlineStr"/>
    </row>
    <row r="121" ht="22" customHeight="1">
      <c r="A121" s="43" t="n">
        <v>46140</v>
      </c>
      <c r="B121" s="44" t="inlineStr">
        <is>
          <t>Tuesday</t>
        </is>
      </c>
      <c r="C121" s="44" t="inlineStr"/>
      <c r="D121" s="57">
        <f>'Goals &amp; Settings'!B5</f>
        <v/>
      </c>
      <c r="E121" s="58">
        <f>IF(C121="","",IF(C121&gt;=D121,1,0))</f>
        <v/>
      </c>
      <c r="F121" s="59">
        <f>IF(C121="","",C121-D121)</f>
        <v/>
      </c>
      <c r="G121" s="44" t="inlineStr"/>
    </row>
    <row r="122" ht="22" customHeight="1">
      <c r="A122" s="39" t="n">
        <v>46141</v>
      </c>
      <c r="B122" s="40" t="inlineStr">
        <is>
          <t>Wednesday</t>
        </is>
      </c>
      <c r="C122" s="40" t="inlineStr"/>
      <c r="D122" s="54">
        <f>'Goals &amp; Settings'!B5</f>
        <v/>
      </c>
      <c r="E122" s="55">
        <f>IF(C122="","",IF(C122&gt;=D122,1,0))</f>
        <v/>
      </c>
      <c r="F122" s="56">
        <f>IF(C122="","",C122-D122)</f>
        <v/>
      </c>
      <c r="G122" s="40" t="inlineStr"/>
    </row>
    <row r="123" ht="22" customHeight="1">
      <c r="A123" s="43" t="n">
        <v>46142</v>
      </c>
      <c r="B123" s="44" t="inlineStr">
        <is>
          <t>Thursday</t>
        </is>
      </c>
      <c r="C123" s="44" t="inlineStr"/>
      <c r="D123" s="57">
        <f>'Goals &amp; Settings'!B5</f>
        <v/>
      </c>
      <c r="E123" s="58">
        <f>IF(C123="","",IF(C123&gt;=D123,1,0))</f>
        <v/>
      </c>
      <c r="F123" s="59">
        <f>IF(C123="","",C123-D123)</f>
        <v/>
      </c>
      <c r="G123" s="44" t="inlineStr"/>
    </row>
    <row r="124" ht="22" customHeight="1">
      <c r="A124" s="39" t="n">
        <v>46143</v>
      </c>
      <c r="B124" s="40" t="inlineStr">
        <is>
          <t>Friday</t>
        </is>
      </c>
      <c r="C124" s="40" t="inlineStr"/>
      <c r="D124" s="54">
        <f>'Goals &amp; Settings'!B5</f>
        <v/>
      </c>
      <c r="E124" s="55">
        <f>IF(C124="","",IF(C124&gt;=D124,1,0))</f>
        <v/>
      </c>
      <c r="F124" s="56">
        <f>IF(C124="","",C124-D124)</f>
        <v/>
      </c>
      <c r="G124" s="40" t="inlineStr"/>
    </row>
    <row r="125" ht="22" customHeight="1">
      <c r="A125" s="43" t="n">
        <v>46144</v>
      </c>
      <c r="B125" s="44" t="inlineStr">
        <is>
          <t>Saturday</t>
        </is>
      </c>
      <c r="C125" s="44" t="inlineStr"/>
      <c r="D125" s="57">
        <f>'Goals &amp; Settings'!B5</f>
        <v/>
      </c>
      <c r="E125" s="58">
        <f>IF(C125="","",IF(C125&gt;=D125,1,0))</f>
        <v/>
      </c>
      <c r="F125" s="59">
        <f>IF(C125="","",C125-D125)</f>
        <v/>
      </c>
      <c r="G125" s="44" t="inlineStr"/>
    </row>
    <row r="126" ht="22" customHeight="1">
      <c r="A126" s="39" t="n">
        <v>46145</v>
      </c>
      <c r="B126" s="40" t="inlineStr">
        <is>
          <t>Sunday</t>
        </is>
      </c>
      <c r="C126" s="40" t="inlineStr"/>
      <c r="D126" s="54">
        <f>'Goals &amp; Settings'!B5</f>
        <v/>
      </c>
      <c r="E126" s="55">
        <f>IF(C126="","",IF(C126&gt;=D126,1,0))</f>
        <v/>
      </c>
      <c r="F126" s="56">
        <f>IF(C126="","",C126-D126)</f>
        <v/>
      </c>
      <c r="G126" s="40" t="inlineStr"/>
    </row>
    <row r="127" ht="22" customHeight="1">
      <c r="A127" s="43" t="n">
        <v>46146</v>
      </c>
      <c r="B127" s="44" t="inlineStr">
        <is>
          <t>Monday</t>
        </is>
      </c>
      <c r="C127" s="44" t="inlineStr"/>
      <c r="D127" s="57">
        <f>'Goals &amp; Settings'!B5</f>
        <v/>
      </c>
      <c r="E127" s="58">
        <f>IF(C127="","",IF(C127&gt;=D127,1,0))</f>
        <v/>
      </c>
      <c r="F127" s="59">
        <f>IF(C127="","",C127-D127)</f>
        <v/>
      </c>
      <c r="G127" s="44" t="inlineStr"/>
    </row>
    <row r="128" ht="22" customHeight="1">
      <c r="A128" s="39" t="n">
        <v>46147</v>
      </c>
      <c r="B128" s="40" t="inlineStr">
        <is>
          <t>Tuesday</t>
        </is>
      </c>
      <c r="C128" s="40" t="inlineStr"/>
      <c r="D128" s="54">
        <f>'Goals &amp; Settings'!B5</f>
        <v/>
      </c>
      <c r="E128" s="55">
        <f>IF(C128="","",IF(C128&gt;=D128,1,0))</f>
        <v/>
      </c>
      <c r="F128" s="56">
        <f>IF(C128="","",C128-D128)</f>
        <v/>
      </c>
      <c r="G128" s="40" t="inlineStr"/>
    </row>
    <row r="129" ht="22" customHeight="1">
      <c r="A129" s="43" t="n">
        <v>46148</v>
      </c>
      <c r="B129" s="44" t="inlineStr">
        <is>
          <t>Wednesday</t>
        </is>
      </c>
      <c r="C129" s="44" t="inlineStr"/>
      <c r="D129" s="57">
        <f>'Goals &amp; Settings'!B5</f>
        <v/>
      </c>
      <c r="E129" s="58">
        <f>IF(C129="","",IF(C129&gt;=D129,1,0))</f>
        <v/>
      </c>
      <c r="F129" s="59">
        <f>IF(C129="","",C129-D129)</f>
        <v/>
      </c>
      <c r="G129" s="44" t="inlineStr"/>
    </row>
    <row r="130" ht="22" customHeight="1">
      <c r="A130" s="39" t="n">
        <v>46149</v>
      </c>
      <c r="B130" s="40" t="inlineStr">
        <is>
          <t>Thursday</t>
        </is>
      </c>
      <c r="C130" s="40" t="inlineStr"/>
      <c r="D130" s="54">
        <f>'Goals &amp; Settings'!B5</f>
        <v/>
      </c>
      <c r="E130" s="55">
        <f>IF(C130="","",IF(C130&gt;=D130,1,0))</f>
        <v/>
      </c>
      <c r="F130" s="56">
        <f>IF(C130="","",C130-D130)</f>
        <v/>
      </c>
      <c r="G130" s="40" t="inlineStr"/>
    </row>
    <row r="131" ht="22" customHeight="1">
      <c r="A131" s="43" t="n">
        <v>46150</v>
      </c>
      <c r="B131" s="44" t="inlineStr">
        <is>
          <t>Friday</t>
        </is>
      </c>
      <c r="C131" s="44" t="inlineStr"/>
      <c r="D131" s="57">
        <f>'Goals &amp; Settings'!B5</f>
        <v/>
      </c>
      <c r="E131" s="58">
        <f>IF(C131="","",IF(C131&gt;=D131,1,0))</f>
        <v/>
      </c>
      <c r="F131" s="59">
        <f>IF(C131="","",C131-D131)</f>
        <v/>
      </c>
      <c r="G131" s="44" t="inlineStr"/>
    </row>
    <row r="132" ht="22" customHeight="1">
      <c r="A132" s="39" t="n">
        <v>46151</v>
      </c>
      <c r="B132" s="40" t="inlineStr">
        <is>
          <t>Saturday</t>
        </is>
      </c>
      <c r="C132" s="40" t="inlineStr"/>
      <c r="D132" s="54">
        <f>'Goals &amp; Settings'!B5</f>
        <v/>
      </c>
      <c r="E132" s="55">
        <f>IF(C132="","",IF(C132&gt;=D132,1,0))</f>
        <v/>
      </c>
      <c r="F132" s="56">
        <f>IF(C132="","",C132-D132)</f>
        <v/>
      </c>
      <c r="G132" s="40" t="inlineStr"/>
    </row>
    <row r="133" ht="22" customHeight="1">
      <c r="A133" s="43" t="n">
        <v>46152</v>
      </c>
      <c r="B133" s="44" t="inlineStr">
        <is>
          <t>Sunday</t>
        </is>
      </c>
      <c r="C133" s="44" t="inlineStr"/>
      <c r="D133" s="57">
        <f>'Goals &amp; Settings'!B5</f>
        <v/>
      </c>
      <c r="E133" s="58">
        <f>IF(C133="","",IF(C133&gt;=D133,1,0))</f>
        <v/>
      </c>
      <c r="F133" s="59">
        <f>IF(C133="","",C133-D133)</f>
        <v/>
      </c>
      <c r="G133" s="44" t="inlineStr"/>
    </row>
    <row r="134" ht="22" customHeight="1">
      <c r="A134" s="39" t="n">
        <v>46153</v>
      </c>
      <c r="B134" s="40" t="inlineStr">
        <is>
          <t>Monday</t>
        </is>
      </c>
      <c r="C134" s="40" t="inlineStr"/>
      <c r="D134" s="54">
        <f>'Goals &amp; Settings'!B5</f>
        <v/>
      </c>
      <c r="E134" s="55">
        <f>IF(C134="","",IF(C134&gt;=D134,1,0))</f>
        <v/>
      </c>
      <c r="F134" s="56">
        <f>IF(C134="","",C134-D134)</f>
        <v/>
      </c>
      <c r="G134" s="40" t="inlineStr"/>
    </row>
    <row r="135" ht="22" customHeight="1">
      <c r="A135" s="43" t="n">
        <v>46154</v>
      </c>
      <c r="B135" s="44" t="inlineStr">
        <is>
          <t>Tuesday</t>
        </is>
      </c>
      <c r="C135" s="44" t="inlineStr"/>
      <c r="D135" s="57">
        <f>'Goals &amp; Settings'!B5</f>
        <v/>
      </c>
      <c r="E135" s="58">
        <f>IF(C135="","",IF(C135&gt;=D135,1,0))</f>
        <v/>
      </c>
      <c r="F135" s="59">
        <f>IF(C135="","",C135-D135)</f>
        <v/>
      </c>
      <c r="G135" s="44" t="inlineStr"/>
    </row>
    <row r="136" ht="22" customHeight="1">
      <c r="A136" s="39" t="n">
        <v>46155</v>
      </c>
      <c r="B136" s="40" t="inlineStr">
        <is>
          <t>Wednesday</t>
        </is>
      </c>
      <c r="C136" s="40" t="inlineStr"/>
      <c r="D136" s="54">
        <f>'Goals &amp; Settings'!B5</f>
        <v/>
      </c>
      <c r="E136" s="55">
        <f>IF(C136="","",IF(C136&gt;=D136,1,0))</f>
        <v/>
      </c>
      <c r="F136" s="56">
        <f>IF(C136="","",C136-D136)</f>
        <v/>
      </c>
      <c r="G136" s="40" t="inlineStr"/>
    </row>
    <row r="137" ht="22" customHeight="1">
      <c r="A137" s="43" t="n">
        <v>46156</v>
      </c>
      <c r="B137" s="44" t="inlineStr">
        <is>
          <t>Thursday</t>
        </is>
      </c>
      <c r="C137" s="44" t="inlineStr"/>
      <c r="D137" s="57">
        <f>'Goals &amp; Settings'!B5</f>
        <v/>
      </c>
      <c r="E137" s="58">
        <f>IF(C137="","",IF(C137&gt;=D137,1,0))</f>
        <v/>
      </c>
      <c r="F137" s="59">
        <f>IF(C137="","",C137-D137)</f>
        <v/>
      </c>
      <c r="G137" s="44" t="inlineStr"/>
    </row>
    <row r="138" ht="22" customHeight="1">
      <c r="A138" s="39" t="n">
        <v>46157</v>
      </c>
      <c r="B138" s="40" t="inlineStr">
        <is>
          <t>Friday</t>
        </is>
      </c>
      <c r="C138" s="40" t="inlineStr"/>
      <c r="D138" s="54">
        <f>'Goals &amp; Settings'!B5</f>
        <v/>
      </c>
      <c r="E138" s="55">
        <f>IF(C138="","",IF(C138&gt;=D138,1,0))</f>
        <v/>
      </c>
      <c r="F138" s="56">
        <f>IF(C138="","",C138-D138)</f>
        <v/>
      </c>
      <c r="G138" s="40" t="inlineStr"/>
    </row>
    <row r="139" ht="22" customHeight="1">
      <c r="A139" s="43" t="n">
        <v>46158</v>
      </c>
      <c r="B139" s="44" t="inlineStr">
        <is>
          <t>Saturday</t>
        </is>
      </c>
      <c r="C139" s="44" t="inlineStr"/>
      <c r="D139" s="57">
        <f>'Goals &amp; Settings'!B5</f>
        <v/>
      </c>
      <c r="E139" s="58">
        <f>IF(C139="","",IF(C139&gt;=D139,1,0))</f>
        <v/>
      </c>
      <c r="F139" s="59">
        <f>IF(C139="","",C139-D139)</f>
        <v/>
      </c>
      <c r="G139" s="44" t="inlineStr"/>
    </row>
    <row r="140" ht="22" customHeight="1">
      <c r="A140" s="39" t="n">
        <v>46159</v>
      </c>
      <c r="B140" s="40" t="inlineStr">
        <is>
          <t>Sunday</t>
        </is>
      </c>
      <c r="C140" s="40" t="inlineStr"/>
      <c r="D140" s="54">
        <f>'Goals &amp; Settings'!B5</f>
        <v/>
      </c>
      <c r="E140" s="55">
        <f>IF(C140="","",IF(C140&gt;=D140,1,0))</f>
        <v/>
      </c>
      <c r="F140" s="56">
        <f>IF(C140="","",C140-D140)</f>
        <v/>
      </c>
      <c r="G140" s="40" t="inlineStr"/>
    </row>
    <row r="141" ht="22" customHeight="1">
      <c r="A141" s="43" t="n">
        <v>46160</v>
      </c>
      <c r="B141" s="44" t="inlineStr">
        <is>
          <t>Monday</t>
        </is>
      </c>
      <c r="C141" s="44" t="inlineStr"/>
      <c r="D141" s="57">
        <f>'Goals &amp; Settings'!B5</f>
        <v/>
      </c>
      <c r="E141" s="58">
        <f>IF(C141="","",IF(C141&gt;=D141,1,0))</f>
        <v/>
      </c>
      <c r="F141" s="59">
        <f>IF(C141="","",C141-D141)</f>
        <v/>
      </c>
      <c r="G141" s="44" t="inlineStr"/>
    </row>
    <row r="142" ht="22" customHeight="1">
      <c r="A142" s="39" t="n">
        <v>46161</v>
      </c>
      <c r="B142" s="40" t="inlineStr">
        <is>
          <t>Tuesday</t>
        </is>
      </c>
      <c r="C142" s="40" t="inlineStr"/>
      <c r="D142" s="54">
        <f>'Goals &amp; Settings'!B5</f>
        <v/>
      </c>
      <c r="E142" s="55">
        <f>IF(C142="","",IF(C142&gt;=D142,1,0))</f>
        <v/>
      </c>
      <c r="F142" s="56">
        <f>IF(C142="","",C142-D142)</f>
        <v/>
      </c>
      <c r="G142" s="40" t="inlineStr"/>
    </row>
    <row r="143" ht="22" customHeight="1">
      <c r="A143" s="43" t="n">
        <v>46162</v>
      </c>
      <c r="B143" s="44" t="inlineStr">
        <is>
          <t>Wednesday</t>
        </is>
      </c>
      <c r="C143" s="44" t="inlineStr"/>
      <c r="D143" s="57">
        <f>'Goals &amp; Settings'!B5</f>
        <v/>
      </c>
      <c r="E143" s="58">
        <f>IF(C143="","",IF(C143&gt;=D143,1,0))</f>
        <v/>
      </c>
      <c r="F143" s="59">
        <f>IF(C143="","",C143-D143)</f>
        <v/>
      </c>
      <c r="G143" s="44" t="inlineStr"/>
    </row>
    <row r="144" ht="22" customHeight="1">
      <c r="A144" s="39" t="n">
        <v>46163</v>
      </c>
      <c r="B144" s="40" t="inlineStr">
        <is>
          <t>Thursday</t>
        </is>
      </c>
      <c r="C144" s="40" t="inlineStr"/>
      <c r="D144" s="54">
        <f>'Goals &amp; Settings'!B5</f>
        <v/>
      </c>
      <c r="E144" s="55">
        <f>IF(C144="","",IF(C144&gt;=D144,1,0))</f>
        <v/>
      </c>
      <c r="F144" s="56">
        <f>IF(C144="","",C144-D144)</f>
        <v/>
      </c>
      <c r="G144" s="40" t="inlineStr"/>
    </row>
    <row r="145" ht="22" customHeight="1">
      <c r="A145" s="43" t="n">
        <v>46164</v>
      </c>
      <c r="B145" s="44" t="inlineStr">
        <is>
          <t>Friday</t>
        </is>
      </c>
      <c r="C145" s="44" t="inlineStr"/>
      <c r="D145" s="57">
        <f>'Goals &amp; Settings'!B5</f>
        <v/>
      </c>
      <c r="E145" s="58">
        <f>IF(C145="","",IF(C145&gt;=D145,1,0))</f>
        <v/>
      </c>
      <c r="F145" s="59">
        <f>IF(C145="","",C145-D145)</f>
        <v/>
      </c>
      <c r="G145" s="44" t="inlineStr"/>
    </row>
    <row r="146" ht="22" customHeight="1">
      <c r="A146" s="39" t="n">
        <v>46165</v>
      </c>
      <c r="B146" s="40" t="inlineStr">
        <is>
          <t>Saturday</t>
        </is>
      </c>
      <c r="C146" s="40" t="inlineStr"/>
      <c r="D146" s="54">
        <f>'Goals &amp; Settings'!B5</f>
        <v/>
      </c>
      <c r="E146" s="55">
        <f>IF(C146="","",IF(C146&gt;=D146,1,0))</f>
        <v/>
      </c>
      <c r="F146" s="56">
        <f>IF(C146="","",C146-D146)</f>
        <v/>
      </c>
      <c r="G146" s="40" t="inlineStr"/>
    </row>
    <row r="147" ht="22" customHeight="1">
      <c r="A147" s="43" t="n">
        <v>46166</v>
      </c>
      <c r="B147" s="44" t="inlineStr">
        <is>
          <t>Sunday</t>
        </is>
      </c>
      <c r="C147" s="44" t="inlineStr"/>
      <c r="D147" s="57">
        <f>'Goals &amp; Settings'!B5</f>
        <v/>
      </c>
      <c r="E147" s="58">
        <f>IF(C147="","",IF(C147&gt;=D147,1,0))</f>
        <v/>
      </c>
      <c r="F147" s="59">
        <f>IF(C147="","",C147-D147)</f>
        <v/>
      </c>
      <c r="G147" s="44" t="inlineStr"/>
    </row>
    <row r="148" ht="22" customHeight="1">
      <c r="A148" s="39" t="n">
        <v>46167</v>
      </c>
      <c r="B148" s="40" t="inlineStr">
        <is>
          <t>Monday</t>
        </is>
      </c>
      <c r="C148" s="40" t="inlineStr"/>
      <c r="D148" s="54">
        <f>'Goals &amp; Settings'!B5</f>
        <v/>
      </c>
      <c r="E148" s="55">
        <f>IF(C148="","",IF(C148&gt;=D148,1,0))</f>
        <v/>
      </c>
      <c r="F148" s="56">
        <f>IF(C148="","",C148-D148)</f>
        <v/>
      </c>
      <c r="G148" s="40" t="inlineStr"/>
    </row>
    <row r="149" ht="22" customHeight="1">
      <c r="A149" s="43" t="n">
        <v>46168</v>
      </c>
      <c r="B149" s="44" t="inlineStr">
        <is>
          <t>Tuesday</t>
        </is>
      </c>
      <c r="C149" s="44" t="inlineStr"/>
      <c r="D149" s="57">
        <f>'Goals &amp; Settings'!B5</f>
        <v/>
      </c>
      <c r="E149" s="58">
        <f>IF(C149="","",IF(C149&gt;=D149,1,0))</f>
        <v/>
      </c>
      <c r="F149" s="59">
        <f>IF(C149="","",C149-D149)</f>
        <v/>
      </c>
      <c r="G149" s="44" t="inlineStr"/>
    </row>
    <row r="150" ht="22" customHeight="1">
      <c r="A150" s="39" t="n">
        <v>46169</v>
      </c>
      <c r="B150" s="40" t="inlineStr">
        <is>
          <t>Wednesday</t>
        </is>
      </c>
      <c r="C150" s="40" t="inlineStr"/>
      <c r="D150" s="54">
        <f>'Goals &amp; Settings'!B5</f>
        <v/>
      </c>
      <c r="E150" s="55">
        <f>IF(C150="","",IF(C150&gt;=D150,1,0))</f>
        <v/>
      </c>
      <c r="F150" s="56">
        <f>IF(C150="","",C150-D150)</f>
        <v/>
      </c>
      <c r="G150" s="40" t="inlineStr"/>
    </row>
    <row r="151" ht="22" customHeight="1">
      <c r="A151" s="43" t="n">
        <v>46170</v>
      </c>
      <c r="B151" s="44" t="inlineStr">
        <is>
          <t>Thursday</t>
        </is>
      </c>
      <c r="C151" s="44" t="inlineStr"/>
      <c r="D151" s="57">
        <f>'Goals &amp; Settings'!B5</f>
        <v/>
      </c>
      <c r="E151" s="58">
        <f>IF(C151="","",IF(C151&gt;=D151,1,0))</f>
        <v/>
      </c>
      <c r="F151" s="59">
        <f>IF(C151="","",C151-D151)</f>
        <v/>
      </c>
      <c r="G151" s="44" t="inlineStr"/>
    </row>
    <row r="152" ht="22" customHeight="1">
      <c r="A152" s="39" t="n">
        <v>46171</v>
      </c>
      <c r="B152" s="40" t="inlineStr">
        <is>
          <t>Friday</t>
        </is>
      </c>
      <c r="C152" s="40" t="inlineStr"/>
      <c r="D152" s="54">
        <f>'Goals &amp; Settings'!B5</f>
        <v/>
      </c>
      <c r="E152" s="55">
        <f>IF(C152="","",IF(C152&gt;=D152,1,0))</f>
        <v/>
      </c>
      <c r="F152" s="56">
        <f>IF(C152="","",C152-D152)</f>
        <v/>
      </c>
      <c r="G152" s="40" t="inlineStr"/>
    </row>
    <row r="153" ht="22" customHeight="1">
      <c r="A153" s="43" t="n">
        <v>46172</v>
      </c>
      <c r="B153" s="44" t="inlineStr">
        <is>
          <t>Saturday</t>
        </is>
      </c>
      <c r="C153" s="44" t="inlineStr"/>
      <c r="D153" s="57">
        <f>'Goals &amp; Settings'!B5</f>
        <v/>
      </c>
      <c r="E153" s="58">
        <f>IF(C153="","",IF(C153&gt;=D153,1,0))</f>
        <v/>
      </c>
      <c r="F153" s="59">
        <f>IF(C153="","",C153-D153)</f>
        <v/>
      </c>
      <c r="G153" s="44" t="inlineStr"/>
    </row>
    <row r="154" ht="22" customHeight="1">
      <c r="A154" s="39" t="n">
        <v>46173</v>
      </c>
      <c r="B154" s="40" t="inlineStr">
        <is>
          <t>Sunday</t>
        </is>
      </c>
      <c r="C154" s="40" t="inlineStr"/>
      <c r="D154" s="54">
        <f>'Goals &amp; Settings'!B5</f>
        <v/>
      </c>
      <c r="E154" s="55">
        <f>IF(C154="","",IF(C154&gt;=D154,1,0))</f>
        <v/>
      </c>
      <c r="F154" s="56">
        <f>IF(C154="","",C154-D154)</f>
        <v/>
      </c>
      <c r="G154" s="40" t="inlineStr"/>
    </row>
    <row r="155" ht="22" customHeight="1">
      <c r="A155" s="43" t="n">
        <v>46174</v>
      </c>
      <c r="B155" s="44" t="inlineStr">
        <is>
          <t>Monday</t>
        </is>
      </c>
      <c r="C155" s="44" t="inlineStr"/>
      <c r="D155" s="57">
        <f>'Goals &amp; Settings'!B5</f>
        <v/>
      </c>
      <c r="E155" s="58">
        <f>IF(C155="","",IF(C155&gt;=D155,1,0))</f>
        <v/>
      </c>
      <c r="F155" s="59">
        <f>IF(C155="","",C155-D155)</f>
        <v/>
      </c>
      <c r="G155" s="44" t="inlineStr"/>
    </row>
    <row r="156" ht="22" customHeight="1">
      <c r="A156" s="39" t="n">
        <v>46175</v>
      </c>
      <c r="B156" s="40" t="inlineStr">
        <is>
          <t>Tuesday</t>
        </is>
      </c>
      <c r="C156" s="40" t="inlineStr"/>
      <c r="D156" s="54">
        <f>'Goals &amp; Settings'!B5</f>
        <v/>
      </c>
      <c r="E156" s="55">
        <f>IF(C156="","",IF(C156&gt;=D156,1,0))</f>
        <v/>
      </c>
      <c r="F156" s="56">
        <f>IF(C156="","",C156-D156)</f>
        <v/>
      </c>
      <c r="G156" s="40" t="inlineStr"/>
    </row>
    <row r="157" ht="22" customHeight="1">
      <c r="A157" s="43" t="n">
        <v>46176</v>
      </c>
      <c r="B157" s="44" t="inlineStr">
        <is>
          <t>Wednesday</t>
        </is>
      </c>
      <c r="C157" s="44" t="inlineStr"/>
      <c r="D157" s="57">
        <f>'Goals &amp; Settings'!B5</f>
        <v/>
      </c>
      <c r="E157" s="58">
        <f>IF(C157="","",IF(C157&gt;=D157,1,0))</f>
        <v/>
      </c>
      <c r="F157" s="59">
        <f>IF(C157="","",C157-D157)</f>
        <v/>
      </c>
      <c r="G157" s="44" t="inlineStr"/>
    </row>
    <row r="158" ht="22" customHeight="1">
      <c r="A158" s="39" t="n">
        <v>46177</v>
      </c>
      <c r="B158" s="40" t="inlineStr">
        <is>
          <t>Thursday</t>
        </is>
      </c>
      <c r="C158" s="40" t="inlineStr"/>
      <c r="D158" s="54">
        <f>'Goals &amp; Settings'!B5</f>
        <v/>
      </c>
      <c r="E158" s="55">
        <f>IF(C158="","",IF(C158&gt;=D158,1,0))</f>
        <v/>
      </c>
      <c r="F158" s="56">
        <f>IF(C158="","",C158-D158)</f>
        <v/>
      </c>
      <c r="G158" s="40" t="inlineStr"/>
    </row>
    <row r="159" ht="22" customHeight="1">
      <c r="A159" s="43" t="n">
        <v>46178</v>
      </c>
      <c r="B159" s="44" t="inlineStr">
        <is>
          <t>Friday</t>
        </is>
      </c>
      <c r="C159" s="44" t="inlineStr"/>
      <c r="D159" s="57">
        <f>'Goals &amp; Settings'!B5</f>
        <v/>
      </c>
      <c r="E159" s="58">
        <f>IF(C159="","",IF(C159&gt;=D159,1,0))</f>
        <v/>
      </c>
      <c r="F159" s="59">
        <f>IF(C159="","",C159-D159)</f>
        <v/>
      </c>
      <c r="G159" s="44" t="inlineStr"/>
    </row>
    <row r="160" ht="22" customHeight="1">
      <c r="A160" s="39" t="n">
        <v>46179</v>
      </c>
      <c r="B160" s="40" t="inlineStr">
        <is>
          <t>Saturday</t>
        </is>
      </c>
      <c r="C160" s="40" t="inlineStr"/>
      <c r="D160" s="54">
        <f>'Goals &amp; Settings'!B5</f>
        <v/>
      </c>
      <c r="E160" s="55">
        <f>IF(C160="","",IF(C160&gt;=D160,1,0))</f>
        <v/>
      </c>
      <c r="F160" s="56">
        <f>IF(C160="","",C160-D160)</f>
        <v/>
      </c>
      <c r="G160" s="40" t="inlineStr"/>
    </row>
    <row r="161" ht="22" customHeight="1">
      <c r="A161" s="43" t="n">
        <v>46180</v>
      </c>
      <c r="B161" s="44" t="inlineStr">
        <is>
          <t>Sunday</t>
        </is>
      </c>
      <c r="C161" s="44" t="inlineStr"/>
      <c r="D161" s="57">
        <f>'Goals &amp; Settings'!B5</f>
        <v/>
      </c>
      <c r="E161" s="58">
        <f>IF(C161="","",IF(C161&gt;=D161,1,0))</f>
        <v/>
      </c>
      <c r="F161" s="59">
        <f>IF(C161="","",C161-D161)</f>
        <v/>
      </c>
      <c r="G161" s="44" t="inlineStr"/>
    </row>
    <row r="162" ht="22" customHeight="1">
      <c r="A162" s="39" t="n">
        <v>46181</v>
      </c>
      <c r="B162" s="40" t="inlineStr">
        <is>
          <t>Monday</t>
        </is>
      </c>
      <c r="C162" s="40" t="inlineStr"/>
      <c r="D162" s="54">
        <f>'Goals &amp; Settings'!B5</f>
        <v/>
      </c>
      <c r="E162" s="55">
        <f>IF(C162="","",IF(C162&gt;=D162,1,0))</f>
        <v/>
      </c>
      <c r="F162" s="56">
        <f>IF(C162="","",C162-D162)</f>
        <v/>
      </c>
      <c r="G162" s="40" t="inlineStr"/>
    </row>
    <row r="163" ht="22" customHeight="1">
      <c r="A163" s="43" t="n">
        <v>46182</v>
      </c>
      <c r="B163" s="44" t="inlineStr">
        <is>
          <t>Tuesday</t>
        </is>
      </c>
      <c r="C163" s="44" t="inlineStr"/>
      <c r="D163" s="57">
        <f>'Goals &amp; Settings'!B5</f>
        <v/>
      </c>
      <c r="E163" s="58">
        <f>IF(C163="","",IF(C163&gt;=D163,1,0))</f>
        <v/>
      </c>
      <c r="F163" s="59">
        <f>IF(C163="","",C163-D163)</f>
        <v/>
      </c>
      <c r="G163" s="44" t="inlineStr"/>
    </row>
    <row r="164" ht="22" customHeight="1">
      <c r="A164" s="39" t="n">
        <v>46183</v>
      </c>
      <c r="B164" s="40" t="inlineStr">
        <is>
          <t>Wednesday</t>
        </is>
      </c>
      <c r="C164" s="40" t="inlineStr"/>
      <c r="D164" s="54">
        <f>'Goals &amp; Settings'!B5</f>
        <v/>
      </c>
      <c r="E164" s="55">
        <f>IF(C164="","",IF(C164&gt;=D164,1,0))</f>
        <v/>
      </c>
      <c r="F164" s="56">
        <f>IF(C164="","",C164-D164)</f>
        <v/>
      </c>
      <c r="G164" s="40" t="inlineStr"/>
    </row>
    <row r="165" ht="22" customHeight="1">
      <c r="A165" s="43" t="n">
        <v>46184</v>
      </c>
      <c r="B165" s="44" t="inlineStr">
        <is>
          <t>Thursday</t>
        </is>
      </c>
      <c r="C165" s="44" t="inlineStr"/>
      <c r="D165" s="57">
        <f>'Goals &amp; Settings'!B5</f>
        <v/>
      </c>
      <c r="E165" s="58">
        <f>IF(C165="","",IF(C165&gt;=D165,1,0))</f>
        <v/>
      </c>
      <c r="F165" s="59">
        <f>IF(C165="","",C165-D165)</f>
        <v/>
      </c>
      <c r="G165" s="44" t="inlineStr"/>
    </row>
    <row r="166" ht="22" customHeight="1">
      <c r="A166" s="39" t="n">
        <v>46185</v>
      </c>
      <c r="B166" s="40" t="inlineStr">
        <is>
          <t>Friday</t>
        </is>
      </c>
      <c r="C166" s="40" t="inlineStr"/>
      <c r="D166" s="54">
        <f>'Goals &amp; Settings'!B5</f>
        <v/>
      </c>
      <c r="E166" s="55">
        <f>IF(C166="","",IF(C166&gt;=D166,1,0))</f>
        <v/>
      </c>
      <c r="F166" s="56">
        <f>IF(C166="","",C166-D166)</f>
        <v/>
      </c>
      <c r="G166" s="40" t="inlineStr"/>
    </row>
    <row r="167" ht="22" customHeight="1">
      <c r="A167" s="43" t="n">
        <v>46186</v>
      </c>
      <c r="B167" s="44" t="inlineStr">
        <is>
          <t>Saturday</t>
        </is>
      </c>
      <c r="C167" s="44" t="inlineStr"/>
      <c r="D167" s="57">
        <f>'Goals &amp; Settings'!B5</f>
        <v/>
      </c>
      <c r="E167" s="58">
        <f>IF(C167="","",IF(C167&gt;=D167,1,0))</f>
        <v/>
      </c>
      <c r="F167" s="59">
        <f>IF(C167="","",C167-D167)</f>
        <v/>
      </c>
      <c r="G167" s="44" t="inlineStr"/>
    </row>
    <row r="168" ht="22" customHeight="1">
      <c r="A168" s="39" t="n">
        <v>46187</v>
      </c>
      <c r="B168" s="40" t="inlineStr">
        <is>
          <t>Sunday</t>
        </is>
      </c>
      <c r="C168" s="40" t="inlineStr"/>
      <c r="D168" s="54">
        <f>'Goals &amp; Settings'!B5</f>
        <v/>
      </c>
      <c r="E168" s="55">
        <f>IF(C168="","",IF(C168&gt;=D168,1,0))</f>
        <v/>
      </c>
      <c r="F168" s="56">
        <f>IF(C168="","",C168-D168)</f>
        <v/>
      </c>
      <c r="G168" s="40" t="inlineStr"/>
    </row>
    <row r="169" ht="22" customHeight="1">
      <c r="A169" s="43" t="n">
        <v>46188</v>
      </c>
      <c r="B169" s="44" t="inlineStr">
        <is>
          <t>Monday</t>
        </is>
      </c>
      <c r="C169" s="44" t="inlineStr"/>
      <c r="D169" s="57">
        <f>'Goals &amp; Settings'!B5</f>
        <v/>
      </c>
      <c r="E169" s="58">
        <f>IF(C169="","",IF(C169&gt;=D169,1,0))</f>
        <v/>
      </c>
      <c r="F169" s="59">
        <f>IF(C169="","",C169-D169)</f>
        <v/>
      </c>
      <c r="G169" s="44" t="inlineStr"/>
    </row>
    <row r="170" ht="22" customHeight="1">
      <c r="A170" s="39" t="n">
        <v>46189</v>
      </c>
      <c r="B170" s="40" t="inlineStr">
        <is>
          <t>Tuesday</t>
        </is>
      </c>
      <c r="C170" s="40" t="inlineStr"/>
      <c r="D170" s="54">
        <f>'Goals &amp; Settings'!B5</f>
        <v/>
      </c>
      <c r="E170" s="55">
        <f>IF(C170="","",IF(C170&gt;=D170,1,0))</f>
        <v/>
      </c>
      <c r="F170" s="56">
        <f>IF(C170="","",C170-D170)</f>
        <v/>
      </c>
      <c r="G170" s="40" t="inlineStr"/>
    </row>
    <row r="171" ht="22" customHeight="1">
      <c r="A171" s="43" t="n">
        <v>46190</v>
      </c>
      <c r="B171" s="44" t="inlineStr">
        <is>
          <t>Wednesday</t>
        </is>
      </c>
      <c r="C171" s="44" t="inlineStr"/>
      <c r="D171" s="57">
        <f>'Goals &amp; Settings'!B5</f>
        <v/>
      </c>
      <c r="E171" s="58">
        <f>IF(C171="","",IF(C171&gt;=D171,1,0))</f>
        <v/>
      </c>
      <c r="F171" s="59">
        <f>IF(C171="","",C171-D171)</f>
        <v/>
      </c>
      <c r="G171" s="44" t="inlineStr"/>
    </row>
    <row r="172" ht="22" customHeight="1">
      <c r="A172" s="39" t="n">
        <v>46191</v>
      </c>
      <c r="B172" s="40" t="inlineStr">
        <is>
          <t>Thursday</t>
        </is>
      </c>
      <c r="C172" s="40" t="inlineStr"/>
      <c r="D172" s="54">
        <f>'Goals &amp; Settings'!B5</f>
        <v/>
      </c>
      <c r="E172" s="55">
        <f>IF(C172="","",IF(C172&gt;=D172,1,0))</f>
        <v/>
      </c>
      <c r="F172" s="56">
        <f>IF(C172="","",C172-D172)</f>
        <v/>
      </c>
      <c r="G172" s="40" t="inlineStr"/>
    </row>
    <row r="173" ht="22" customHeight="1">
      <c r="A173" s="43" t="n">
        <v>46192</v>
      </c>
      <c r="B173" s="44" t="inlineStr">
        <is>
          <t>Friday</t>
        </is>
      </c>
      <c r="C173" s="44" t="inlineStr"/>
      <c r="D173" s="57">
        <f>'Goals &amp; Settings'!B5</f>
        <v/>
      </c>
      <c r="E173" s="58">
        <f>IF(C173="","",IF(C173&gt;=D173,1,0))</f>
        <v/>
      </c>
      <c r="F173" s="59">
        <f>IF(C173="","",C173-D173)</f>
        <v/>
      </c>
      <c r="G173" s="44" t="inlineStr"/>
    </row>
    <row r="174" ht="22" customHeight="1">
      <c r="A174" s="39" t="n">
        <v>46193</v>
      </c>
      <c r="B174" s="40" t="inlineStr">
        <is>
          <t>Saturday</t>
        </is>
      </c>
      <c r="C174" s="40" t="inlineStr"/>
      <c r="D174" s="54">
        <f>'Goals &amp; Settings'!B5</f>
        <v/>
      </c>
      <c r="E174" s="55">
        <f>IF(C174="","",IF(C174&gt;=D174,1,0))</f>
        <v/>
      </c>
      <c r="F174" s="56">
        <f>IF(C174="","",C174-D174)</f>
        <v/>
      </c>
      <c r="G174" s="40" t="inlineStr"/>
    </row>
    <row r="175" ht="22" customHeight="1">
      <c r="A175" s="43" t="n">
        <v>46194</v>
      </c>
      <c r="B175" s="44" t="inlineStr">
        <is>
          <t>Sunday</t>
        </is>
      </c>
      <c r="C175" s="44" t="inlineStr"/>
      <c r="D175" s="57">
        <f>'Goals &amp; Settings'!B5</f>
        <v/>
      </c>
      <c r="E175" s="58">
        <f>IF(C175="","",IF(C175&gt;=D175,1,0))</f>
        <v/>
      </c>
      <c r="F175" s="59">
        <f>IF(C175="","",C175-D175)</f>
        <v/>
      </c>
      <c r="G175" s="44" t="inlineStr"/>
    </row>
    <row r="176" ht="22" customHeight="1">
      <c r="A176" s="39" t="n">
        <v>46195</v>
      </c>
      <c r="B176" s="40" t="inlineStr">
        <is>
          <t>Monday</t>
        </is>
      </c>
      <c r="C176" s="40" t="inlineStr"/>
      <c r="D176" s="54">
        <f>'Goals &amp; Settings'!B5</f>
        <v/>
      </c>
      <c r="E176" s="55">
        <f>IF(C176="","",IF(C176&gt;=D176,1,0))</f>
        <v/>
      </c>
      <c r="F176" s="56">
        <f>IF(C176="","",C176-D176)</f>
        <v/>
      </c>
      <c r="G176" s="40" t="inlineStr"/>
    </row>
    <row r="177" ht="22" customHeight="1">
      <c r="A177" s="43" t="n">
        <v>46196</v>
      </c>
      <c r="B177" s="44" t="inlineStr">
        <is>
          <t>Tuesday</t>
        </is>
      </c>
      <c r="C177" s="44" t="inlineStr"/>
      <c r="D177" s="57">
        <f>'Goals &amp; Settings'!B5</f>
        <v/>
      </c>
      <c r="E177" s="58">
        <f>IF(C177="","",IF(C177&gt;=D177,1,0))</f>
        <v/>
      </c>
      <c r="F177" s="59">
        <f>IF(C177="","",C177-D177)</f>
        <v/>
      </c>
      <c r="G177" s="44" t="inlineStr"/>
    </row>
    <row r="178" ht="22" customHeight="1">
      <c r="A178" s="39" t="n">
        <v>46197</v>
      </c>
      <c r="B178" s="40" t="inlineStr">
        <is>
          <t>Wednesday</t>
        </is>
      </c>
      <c r="C178" s="40" t="inlineStr"/>
      <c r="D178" s="54">
        <f>'Goals &amp; Settings'!B5</f>
        <v/>
      </c>
      <c r="E178" s="55">
        <f>IF(C178="","",IF(C178&gt;=D178,1,0))</f>
        <v/>
      </c>
      <c r="F178" s="56">
        <f>IF(C178="","",C178-D178)</f>
        <v/>
      </c>
      <c r="G178" s="40" t="inlineStr"/>
    </row>
    <row r="179" ht="22" customHeight="1">
      <c r="A179" s="43" t="n">
        <v>46198</v>
      </c>
      <c r="B179" s="44" t="inlineStr">
        <is>
          <t>Thursday</t>
        </is>
      </c>
      <c r="C179" s="44" t="inlineStr"/>
      <c r="D179" s="57">
        <f>'Goals &amp; Settings'!B5</f>
        <v/>
      </c>
      <c r="E179" s="58">
        <f>IF(C179="","",IF(C179&gt;=D179,1,0))</f>
        <v/>
      </c>
      <c r="F179" s="59">
        <f>IF(C179="","",C179-D179)</f>
        <v/>
      </c>
      <c r="G179" s="44" t="inlineStr"/>
    </row>
    <row r="180" ht="22" customHeight="1">
      <c r="A180" s="39" t="n">
        <v>46199</v>
      </c>
      <c r="B180" s="40" t="inlineStr">
        <is>
          <t>Friday</t>
        </is>
      </c>
      <c r="C180" s="40" t="inlineStr"/>
      <c r="D180" s="54">
        <f>'Goals &amp; Settings'!B5</f>
        <v/>
      </c>
      <c r="E180" s="55">
        <f>IF(C180="","",IF(C180&gt;=D180,1,0))</f>
        <v/>
      </c>
      <c r="F180" s="56">
        <f>IF(C180="","",C180-D180)</f>
        <v/>
      </c>
      <c r="G180" s="40" t="inlineStr"/>
    </row>
    <row r="181" ht="22" customHeight="1">
      <c r="A181" s="43" t="n">
        <v>46200</v>
      </c>
      <c r="B181" s="44" t="inlineStr">
        <is>
          <t>Saturday</t>
        </is>
      </c>
      <c r="C181" s="44" t="inlineStr"/>
      <c r="D181" s="57">
        <f>'Goals &amp; Settings'!B5</f>
        <v/>
      </c>
      <c r="E181" s="58">
        <f>IF(C181="","",IF(C181&gt;=D181,1,0))</f>
        <v/>
      </c>
      <c r="F181" s="59">
        <f>IF(C181="","",C181-D181)</f>
        <v/>
      </c>
      <c r="G181" s="44" t="inlineStr"/>
    </row>
    <row r="182" ht="22" customHeight="1">
      <c r="A182" s="39" t="n">
        <v>46201</v>
      </c>
      <c r="B182" s="40" t="inlineStr">
        <is>
          <t>Sunday</t>
        </is>
      </c>
      <c r="C182" s="40" t="inlineStr"/>
      <c r="D182" s="54">
        <f>'Goals &amp; Settings'!B5</f>
        <v/>
      </c>
      <c r="E182" s="55">
        <f>IF(C182="","",IF(C182&gt;=D182,1,0))</f>
        <v/>
      </c>
      <c r="F182" s="56">
        <f>IF(C182="","",C182-D182)</f>
        <v/>
      </c>
      <c r="G182" s="40" t="inlineStr"/>
    </row>
    <row r="183" ht="22" customHeight="1">
      <c r="A183" s="43" t="n">
        <v>46202</v>
      </c>
      <c r="B183" s="44" t="inlineStr">
        <is>
          <t>Monday</t>
        </is>
      </c>
      <c r="C183" s="44" t="inlineStr"/>
      <c r="D183" s="57">
        <f>'Goals &amp; Settings'!B5</f>
        <v/>
      </c>
      <c r="E183" s="58">
        <f>IF(C183="","",IF(C183&gt;=D183,1,0))</f>
        <v/>
      </c>
      <c r="F183" s="59">
        <f>IF(C183="","",C183-D183)</f>
        <v/>
      </c>
      <c r="G183" s="44" t="inlineStr"/>
    </row>
    <row r="184" ht="22" customHeight="1">
      <c r="A184" s="39" t="n">
        <v>46203</v>
      </c>
      <c r="B184" s="40" t="inlineStr">
        <is>
          <t>Tuesday</t>
        </is>
      </c>
      <c r="C184" s="40" t="inlineStr"/>
      <c r="D184" s="54">
        <f>'Goals &amp; Settings'!B5</f>
        <v/>
      </c>
      <c r="E184" s="55">
        <f>IF(C184="","",IF(C184&gt;=D184,1,0))</f>
        <v/>
      </c>
      <c r="F184" s="56">
        <f>IF(C184="","",C184-D184)</f>
        <v/>
      </c>
      <c r="G184" s="40" t="inlineStr"/>
    </row>
    <row r="185" ht="22" customHeight="1">
      <c r="A185" s="43" t="n">
        <v>46204</v>
      </c>
      <c r="B185" s="44" t="inlineStr">
        <is>
          <t>Wednesday</t>
        </is>
      </c>
      <c r="C185" s="44" t="inlineStr"/>
      <c r="D185" s="57">
        <f>'Goals &amp; Settings'!B5</f>
        <v/>
      </c>
      <c r="E185" s="58">
        <f>IF(C185="","",IF(C185&gt;=D185,1,0))</f>
        <v/>
      </c>
      <c r="F185" s="59">
        <f>IF(C185="","",C185-D185)</f>
        <v/>
      </c>
      <c r="G185" s="44" t="inlineStr"/>
    </row>
    <row r="186" ht="22" customHeight="1">
      <c r="A186" s="39" t="n">
        <v>46205</v>
      </c>
      <c r="B186" s="40" t="inlineStr">
        <is>
          <t>Thursday</t>
        </is>
      </c>
      <c r="C186" s="40" t="inlineStr"/>
      <c r="D186" s="54">
        <f>'Goals &amp; Settings'!B5</f>
        <v/>
      </c>
      <c r="E186" s="55">
        <f>IF(C186="","",IF(C186&gt;=D186,1,0))</f>
        <v/>
      </c>
      <c r="F186" s="56">
        <f>IF(C186="","",C186-D186)</f>
        <v/>
      </c>
      <c r="G186" s="40" t="inlineStr"/>
    </row>
    <row r="187" ht="22" customHeight="1">
      <c r="A187" s="43" t="n">
        <v>46206</v>
      </c>
      <c r="B187" s="44" t="inlineStr">
        <is>
          <t>Friday</t>
        </is>
      </c>
      <c r="C187" s="44" t="inlineStr"/>
      <c r="D187" s="57">
        <f>'Goals &amp; Settings'!B5</f>
        <v/>
      </c>
      <c r="E187" s="58">
        <f>IF(C187="","",IF(C187&gt;=D187,1,0))</f>
        <v/>
      </c>
      <c r="F187" s="59">
        <f>IF(C187="","",C187-D187)</f>
        <v/>
      </c>
      <c r="G187" s="44" t="inlineStr"/>
    </row>
    <row r="188" ht="22" customHeight="1">
      <c r="A188" s="39" t="n">
        <v>46207</v>
      </c>
      <c r="B188" s="40" t="inlineStr">
        <is>
          <t>Saturday</t>
        </is>
      </c>
      <c r="C188" s="40" t="inlineStr"/>
      <c r="D188" s="54">
        <f>'Goals &amp; Settings'!B5</f>
        <v/>
      </c>
      <c r="E188" s="55">
        <f>IF(C188="","",IF(C188&gt;=D188,1,0))</f>
        <v/>
      </c>
      <c r="F188" s="56">
        <f>IF(C188="","",C188-D188)</f>
        <v/>
      </c>
      <c r="G188" s="40" t="inlineStr"/>
    </row>
    <row r="189" ht="22" customHeight="1">
      <c r="A189" s="43" t="n">
        <v>46208</v>
      </c>
      <c r="B189" s="44" t="inlineStr">
        <is>
          <t>Sunday</t>
        </is>
      </c>
      <c r="C189" s="44" t="inlineStr"/>
      <c r="D189" s="57">
        <f>'Goals &amp; Settings'!B5</f>
        <v/>
      </c>
      <c r="E189" s="58">
        <f>IF(C189="","",IF(C189&gt;=D189,1,0))</f>
        <v/>
      </c>
      <c r="F189" s="59">
        <f>IF(C189="","",C189-D189)</f>
        <v/>
      </c>
      <c r="G189" s="44" t="inlineStr"/>
    </row>
    <row r="190" ht="22" customHeight="1">
      <c r="A190" s="39" t="n">
        <v>46209</v>
      </c>
      <c r="B190" s="40" t="inlineStr">
        <is>
          <t>Monday</t>
        </is>
      </c>
      <c r="C190" s="40" t="inlineStr"/>
      <c r="D190" s="54">
        <f>'Goals &amp; Settings'!B5</f>
        <v/>
      </c>
      <c r="E190" s="55">
        <f>IF(C190="","",IF(C190&gt;=D190,1,0))</f>
        <v/>
      </c>
      <c r="F190" s="56">
        <f>IF(C190="","",C190-D190)</f>
        <v/>
      </c>
      <c r="G190" s="40" t="inlineStr"/>
    </row>
    <row r="191" ht="22" customHeight="1">
      <c r="A191" s="43" t="n">
        <v>46210</v>
      </c>
      <c r="B191" s="44" t="inlineStr">
        <is>
          <t>Tuesday</t>
        </is>
      </c>
      <c r="C191" s="44" t="inlineStr"/>
      <c r="D191" s="57">
        <f>'Goals &amp; Settings'!B5</f>
        <v/>
      </c>
      <c r="E191" s="58">
        <f>IF(C191="","",IF(C191&gt;=D191,1,0))</f>
        <v/>
      </c>
      <c r="F191" s="59">
        <f>IF(C191="","",C191-D191)</f>
        <v/>
      </c>
      <c r="G191" s="44" t="inlineStr"/>
    </row>
    <row r="192" ht="22" customHeight="1">
      <c r="A192" s="39" t="n">
        <v>46211</v>
      </c>
      <c r="B192" s="40" t="inlineStr">
        <is>
          <t>Wednesday</t>
        </is>
      </c>
      <c r="C192" s="40" t="inlineStr"/>
      <c r="D192" s="54">
        <f>'Goals &amp; Settings'!B5</f>
        <v/>
      </c>
      <c r="E192" s="55">
        <f>IF(C192="","",IF(C192&gt;=D192,1,0))</f>
        <v/>
      </c>
      <c r="F192" s="56">
        <f>IF(C192="","",C192-D192)</f>
        <v/>
      </c>
      <c r="G192" s="40" t="inlineStr"/>
    </row>
    <row r="193" ht="22" customHeight="1">
      <c r="A193" s="43" t="n">
        <v>46212</v>
      </c>
      <c r="B193" s="44" t="inlineStr">
        <is>
          <t>Thursday</t>
        </is>
      </c>
      <c r="C193" s="44" t="inlineStr"/>
      <c r="D193" s="57">
        <f>'Goals &amp; Settings'!B5</f>
        <v/>
      </c>
      <c r="E193" s="58">
        <f>IF(C193="","",IF(C193&gt;=D193,1,0))</f>
        <v/>
      </c>
      <c r="F193" s="59">
        <f>IF(C193="","",C193-D193)</f>
        <v/>
      </c>
      <c r="G193" s="44" t="inlineStr"/>
    </row>
    <row r="194" ht="22" customHeight="1">
      <c r="A194" s="39" t="n">
        <v>46213</v>
      </c>
      <c r="B194" s="40" t="inlineStr">
        <is>
          <t>Friday</t>
        </is>
      </c>
      <c r="C194" s="40" t="inlineStr"/>
      <c r="D194" s="54">
        <f>'Goals &amp; Settings'!B5</f>
        <v/>
      </c>
      <c r="E194" s="55">
        <f>IF(C194="","",IF(C194&gt;=D194,1,0))</f>
        <v/>
      </c>
      <c r="F194" s="56">
        <f>IF(C194="","",C194-D194)</f>
        <v/>
      </c>
      <c r="G194" s="40" t="inlineStr"/>
    </row>
    <row r="195" ht="22" customHeight="1">
      <c r="A195" s="43" t="n">
        <v>46214</v>
      </c>
      <c r="B195" s="44" t="inlineStr">
        <is>
          <t>Saturday</t>
        </is>
      </c>
      <c r="C195" s="44" t="inlineStr"/>
      <c r="D195" s="57">
        <f>'Goals &amp; Settings'!B5</f>
        <v/>
      </c>
      <c r="E195" s="58">
        <f>IF(C195="","",IF(C195&gt;=D195,1,0))</f>
        <v/>
      </c>
      <c r="F195" s="59">
        <f>IF(C195="","",C195-D195)</f>
        <v/>
      </c>
      <c r="G195" s="44" t="inlineStr"/>
    </row>
    <row r="196" ht="22" customHeight="1">
      <c r="A196" s="39" t="n">
        <v>46215</v>
      </c>
      <c r="B196" s="40" t="inlineStr">
        <is>
          <t>Sunday</t>
        </is>
      </c>
      <c r="C196" s="40" t="inlineStr"/>
      <c r="D196" s="54">
        <f>'Goals &amp; Settings'!B5</f>
        <v/>
      </c>
      <c r="E196" s="55">
        <f>IF(C196="","",IF(C196&gt;=D196,1,0))</f>
        <v/>
      </c>
      <c r="F196" s="56">
        <f>IF(C196="","",C196-D196)</f>
        <v/>
      </c>
      <c r="G196" s="40" t="inlineStr"/>
    </row>
    <row r="197" ht="22" customHeight="1">
      <c r="A197" s="43" t="n">
        <v>46216</v>
      </c>
      <c r="B197" s="44" t="inlineStr">
        <is>
          <t>Monday</t>
        </is>
      </c>
      <c r="C197" s="44" t="inlineStr"/>
      <c r="D197" s="57">
        <f>'Goals &amp; Settings'!B5</f>
        <v/>
      </c>
      <c r="E197" s="58">
        <f>IF(C197="","",IF(C197&gt;=D197,1,0))</f>
        <v/>
      </c>
      <c r="F197" s="59">
        <f>IF(C197="","",C197-D197)</f>
        <v/>
      </c>
      <c r="G197" s="44" t="inlineStr"/>
    </row>
    <row r="198" ht="22" customHeight="1">
      <c r="A198" s="39" t="n">
        <v>46217</v>
      </c>
      <c r="B198" s="40" t="inlineStr">
        <is>
          <t>Tuesday</t>
        </is>
      </c>
      <c r="C198" s="40" t="inlineStr"/>
      <c r="D198" s="54">
        <f>'Goals &amp; Settings'!B5</f>
        <v/>
      </c>
      <c r="E198" s="55">
        <f>IF(C198="","",IF(C198&gt;=D198,1,0))</f>
        <v/>
      </c>
      <c r="F198" s="56">
        <f>IF(C198="","",C198-D198)</f>
        <v/>
      </c>
      <c r="G198" s="40" t="inlineStr"/>
    </row>
    <row r="199" ht="22" customHeight="1">
      <c r="A199" s="43" t="n">
        <v>46218</v>
      </c>
      <c r="B199" s="44" t="inlineStr">
        <is>
          <t>Wednesday</t>
        </is>
      </c>
      <c r="C199" s="44" t="inlineStr"/>
      <c r="D199" s="57">
        <f>'Goals &amp; Settings'!B5</f>
        <v/>
      </c>
      <c r="E199" s="58">
        <f>IF(C199="","",IF(C199&gt;=D199,1,0))</f>
        <v/>
      </c>
      <c r="F199" s="59">
        <f>IF(C199="","",C199-D199)</f>
        <v/>
      </c>
      <c r="G199" s="44" t="inlineStr"/>
    </row>
    <row r="200" ht="22" customHeight="1">
      <c r="A200" s="39" t="n">
        <v>46219</v>
      </c>
      <c r="B200" s="40" t="inlineStr">
        <is>
          <t>Thursday</t>
        </is>
      </c>
      <c r="C200" s="40" t="inlineStr"/>
      <c r="D200" s="54">
        <f>'Goals &amp; Settings'!B5</f>
        <v/>
      </c>
      <c r="E200" s="55">
        <f>IF(C200="","",IF(C200&gt;=D200,1,0))</f>
        <v/>
      </c>
      <c r="F200" s="56">
        <f>IF(C200="","",C200-D200)</f>
        <v/>
      </c>
      <c r="G200" s="40" t="inlineStr"/>
    </row>
    <row r="201" ht="22" customHeight="1">
      <c r="A201" s="43" t="n">
        <v>46220</v>
      </c>
      <c r="B201" s="44" t="inlineStr">
        <is>
          <t>Friday</t>
        </is>
      </c>
      <c r="C201" s="44" t="inlineStr"/>
      <c r="D201" s="57">
        <f>'Goals &amp; Settings'!B5</f>
        <v/>
      </c>
      <c r="E201" s="58">
        <f>IF(C201="","",IF(C201&gt;=D201,1,0))</f>
        <v/>
      </c>
      <c r="F201" s="59">
        <f>IF(C201="","",C201-D201)</f>
        <v/>
      </c>
      <c r="G201" s="44" t="inlineStr"/>
    </row>
    <row r="202" ht="22" customHeight="1">
      <c r="A202" s="39" t="n">
        <v>46221</v>
      </c>
      <c r="B202" s="40" t="inlineStr">
        <is>
          <t>Saturday</t>
        </is>
      </c>
      <c r="C202" s="40" t="inlineStr"/>
      <c r="D202" s="54">
        <f>'Goals &amp; Settings'!B5</f>
        <v/>
      </c>
      <c r="E202" s="55">
        <f>IF(C202="","",IF(C202&gt;=D202,1,0))</f>
        <v/>
      </c>
      <c r="F202" s="56">
        <f>IF(C202="","",C202-D202)</f>
        <v/>
      </c>
      <c r="G202" s="40" t="inlineStr"/>
    </row>
    <row r="203" ht="22" customHeight="1">
      <c r="A203" s="43" t="n">
        <v>46222</v>
      </c>
      <c r="B203" s="44" t="inlineStr">
        <is>
          <t>Sunday</t>
        </is>
      </c>
      <c r="C203" s="44" t="inlineStr"/>
      <c r="D203" s="57">
        <f>'Goals &amp; Settings'!B5</f>
        <v/>
      </c>
      <c r="E203" s="58">
        <f>IF(C203="","",IF(C203&gt;=D203,1,0))</f>
        <v/>
      </c>
      <c r="F203" s="59">
        <f>IF(C203="","",C203-D203)</f>
        <v/>
      </c>
      <c r="G203" s="44" t="inlineStr"/>
    </row>
    <row r="204" ht="22" customHeight="1">
      <c r="A204" s="39" t="n">
        <v>46223</v>
      </c>
      <c r="B204" s="40" t="inlineStr">
        <is>
          <t>Monday</t>
        </is>
      </c>
      <c r="C204" s="40" t="inlineStr"/>
      <c r="D204" s="54">
        <f>'Goals &amp; Settings'!B5</f>
        <v/>
      </c>
      <c r="E204" s="55">
        <f>IF(C204="","",IF(C204&gt;=D204,1,0))</f>
        <v/>
      </c>
      <c r="F204" s="56">
        <f>IF(C204="","",C204-D204)</f>
        <v/>
      </c>
      <c r="G204" s="40" t="inlineStr"/>
    </row>
    <row r="205" ht="22" customHeight="1">
      <c r="A205" s="43" t="n">
        <v>46224</v>
      </c>
      <c r="B205" s="44" t="inlineStr">
        <is>
          <t>Tuesday</t>
        </is>
      </c>
      <c r="C205" s="44" t="inlineStr"/>
      <c r="D205" s="57">
        <f>'Goals &amp; Settings'!B5</f>
        <v/>
      </c>
      <c r="E205" s="58">
        <f>IF(C205="","",IF(C205&gt;=D205,1,0))</f>
        <v/>
      </c>
      <c r="F205" s="59">
        <f>IF(C205="","",C205-D205)</f>
        <v/>
      </c>
      <c r="G205" s="44" t="inlineStr"/>
    </row>
    <row r="206" ht="22" customHeight="1">
      <c r="A206" s="39" t="n">
        <v>46225</v>
      </c>
      <c r="B206" s="40" t="inlineStr">
        <is>
          <t>Wednesday</t>
        </is>
      </c>
      <c r="C206" s="40" t="inlineStr"/>
      <c r="D206" s="54">
        <f>'Goals &amp; Settings'!B5</f>
        <v/>
      </c>
      <c r="E206" s="55">
        <f>IF(C206="","",IF(C206&gt;=D206,1,0))</f>
        <v/>
      </c>
      <c r="F206" s="56">
        <f>IF(C206="","",C206-D206)</f>
        <v/>
      </c>
      <c r="G206" s="40" t="inlineStr"/>
    </row>
    <row r="207" ht="22" customHeight="1">
      <c r="A207" s="43" t="n">
        <v>46226</v>
      </c>
      <c r="B207" s="44" t="inlineStr">
        <is>
          <t>Thursday</t>
        </is>
      </c>
      <c r="C207" s="44" t="inlineStr"/>
      <c r="D207" s="57">
        <f>'Goals &amp; Settings'!B5</f>
        <v/>
      </c>
      <c r="E207" s="58">
        <f>IF(C207="","",IF(C207&gt;=D207,1,0))</f>
        <v/>
      </c>
      <c r="F207" s="59">
        <f>IF(C207="","",C207-D207)</f>
        <v/>
      </c>
      <c r="G207" s="44" t="inlineStr"/>
    </row>
    <row r="208" ht="22" customHeight="1">
      <c r="A208" s="39" t="n">
        <v>46227</v>
      </c>
      <c r="B208" s="40" t="inlineStr">
        <is>
          <t>Friday</t>
        </is>
      </c>
      <c r="C208" s="40" t="inlineStr"/>
      <c r="D208" s="54">
        <f>'Goals &amp; Settings'!B5</f>
        <v/>
      </c>
      <c r="E208" s="55">
        <f>IF(C208="","",IF(C208&gt;=D208,1,0))</f>
        <v/>
      </c>
      <c r="F208" s="56">
        <f>IF(C208="","",C208-D208)</f>
        <v/>
      </c>
      <c r="G208" s="40" t="inlineStr"/>
    </row>
    <row r="209" ht="22" customHeight="1">
      <c r="A209" s="43" t="n">
        <v>46228</v>
      </c>
      <c r="B209" s="44" t="inlineStr">
        <is>
          <t>Saturday</t>
        </is>
      </c>
      <c r="C209" s="44" t="inlineStr"/>
      <c r="D209" s="57">
        <f>'Goals &amp; Settings'!B5</f>
        <v/>
      </c>
      <c r="E209" s="58">
        <f>IF(C209="","",IF(C209&gt;=D209,1,0))</f>
        <v/>
      </c>
      <c r="F209" s="59">
        <f>IF(C209="","",C209-D209)</f>
        <v/>
      </c>
      <c r="G209" s="44" t="inlineStr"/>
    </row>
    <row r="210" ht="22" customHeight="1">
      <c r="A210" s="39" t="n">
        <v>46229</v>
      </c>
      <c r="B210" s="40" t="inlineStr">
        <is>
          <t>Sunday</t>
        </is>
      </c>
      <c r="C210" s="40" t="inlineStr"/>
      <c r="D210" s="54">
        <f>'Goals &amp; Settings'!B5</f>
        <v/>
      </c>
      <c r="E210" s="55">
        <f>IF(C210="","",IF(C210&gt;=D210,1,0))</f>
        <v/>
      </c>
      <c r="F210" s="56">
        <f>IF(C210="","",C210-D210)</f>
        <v/>
      </c>
      <c r="G210" s="40" t="inlineStr"/>
    </row>
    <row r="211" ht="22" customHeight="1">
      <c r="A211" s="43" t="n">
        <v>46230</v>
      </c>
      <c r="B211" s="44" t="inlineStr">
        <is>
          <t>Monday</t>
        </is>
      </c>
      <c r="C211" s="44" t="inlineStr"/>
      <c r="D211" s="57">
        <f>'Goals &amp; Settings'!B5</f>
        <v/>
      </c>
      <c r="E211" s="58">
        <f>IF(C211="","",IF(C211&gt;=D211,1,0))</f>
        <v/>
      </c>
      <c r="F211" s="59">
        <f>IF(C211="","",C211-D211)</f>
        <v/>
      </c>
      <c r="G211" s="44" t="inlineStr"/>
    </row>
    <row r="212" ht="22" customHeight="1">
      <c r="A212" s="39" t="n">
        <v>46231</v>
      </c>
      <c r="B212" s="40" t="inlineStr">
        <is>
          <t>Tuesday</t>
        </is>
      </c>
      <c r="C212" s="40" t="inlineStr"/>
      <c r="D212" s="54">
        <f>'Goals &amp; Settings'!B5</f>
        <v/>
      </c>
      <c r="E212" s="55">
        <f>IF(C212="","",IF(C212&gt;=D212,1,0))</f>
        <v/>
      </c>
      <c r="F212" s="56">
        <f>IF(C212="","",C212-D212)</f>
        <v/>
      </c>
      <c r="G212" s="40" t="inlineStr"/>
    </row>
    <row r="213" ht="22" customHeight="1">
      <c r="A213" s="43" t="n">
        <v>46232</v>
      </c>
      <c r="B213" s="44" t="inlineStr">
        <is>
          <t>Wednesday</t>
        </is>
      </c>
      <c r="C213" s="44" t="inlineStr"/>
      <c r="D213" s="57">
        <f>'Goals &amp; Settings'!B5</f>
        <v/>
      </c>
      <c r="E213" s="58">
        <f>IF(C213="","",IF(C213&gt;=D213,1,0))</f>
        <v/>
      </c>
      <c r="F213" s="59">
        <f>IF(C213="","",C213-D213)</f>
        <v/>
      </c>
      <c r="G213" s="44" t="inlineStr"/>
    </row>
    <row r="214" ht="22" customHeight="1">
      <c r="A214" s="39" t="n">
        <v>46233</v>
      </c>
      <c r="B214" s="40" t="inlineStr">
        <is>
          <t>Thursday</t>
        </is>
      </c>
      <c r="C214" s="40" t="inlineStr"/>
      <c r="D214" s="54">
        <f>'Goals &amp; Settings'!B5</f>
        <v/>
      </c>
      <c r="E214" s="55">
        <f>IF(C214="","",IF(C214&gt;=D214,1,0))</f>
        <v/>
      </c>
      <c r="F214" s="56">
        <f>IF(C214="","",C214-D214)</f>
        <v/>
      </c>
      <c r="G214" s="40" t="inlineStr"/>
    </row>
    <row r="215" ht="22" customHeight="1">
      <c r="A215" s="43" t="n">
        <v>46234</v>
      </c>
      <c r="B215" s="44" t="inlineStr">
        <is>
          <t>Friday</t>
        </is>
      </c>
      <c r="C215" s="44" t="inlineStr"/>
      <c r="D215" s="57">
        <f>'Goals &amp; Settings'!B5</f>
        <v/>
      </c>
      <c r="E215" s="58">
        <f>IF(C215="","",IF(C215&gt;=D215,1,0))</f>
        <v/>
      </c>
      <c r="F215" s="59">
        <f>IF(C215="","",C215-D215)</f>
        <v/>
      </c>
      <c r="G215" s="44" t="inlineStr"/>
    </row>
    <row r="216" ht="22" customHeight="1">
      <c r="A216" s="39" t="n">
        <v>46235</v>
      </c>
      <c r="B216" s="40" t="inlineStr">
        <is>
          <t>Saturday</t>
        </is>
      </c>
      <c r="C216" s="40" t="inlineStr"/>
      <c r="D216" s="54">
        <f>'Goals &amp; Settings'!B5</f>
        <v/>
      </c>
      <c r="E216" s="55">
        <f>IF(C216="","",IF(C216&gt;=D216,1,0))</f>
        <v/>
      </c>
      <c r="F216" s="56">
        <f>IF(C216="","",C216-D216)</f>
        <v/>
      </c>
      <c r="G216" s="40" t="inlineStr"/>
    </row>
    <row r="217" ht="22" customHeight="1">
      <c r="A217" s="43" t="n">
        <v>46236</v>
      </c>
      <c r="B217" s="44" t="inlineStr">
        <is>
          <t>Sunday</t>
        </is>
      </c>
      <c r="C217" s="44" t="inlineStr"/>
      <c r="D217" s="57">
        <f>'Goals &amp; Settings'!B5</f>
        <v/>
      </c>
      <c r="E217" s="58">
        <f>IF(C217="","",IF(C217&gt;=D217,1,0))</f>
        <v/>
      </c>
      <c r="F217" s="59">
        <f>IF(C217="","",C217-D217)</f>
        <v/>
      </c>
      <c r="G217" s="44" t="inlineStr"/>
    </row>
    <row r="218" ht="22" customHeight="1">
      <c r="A218" s="39" t="n">
        <v>46237</v>
      </c>
      <c r="B218" s="40" t="inlineStr">
        <is>
          <t>Monday</t>
        </is>
      </c>
      <c r="C218" s="40" t="inlineStr"/>
      <c r="D218" s="54">
        <f>'Goals &amp; Settings'!B5</f>
        <v/>
      </c>
      <c r="E218" s="55">
        <f>IF(C218="","",IF(C218&gt;=D218,1,0))</f>
        <v/>
      </c>
      <c r="F218" s="56">
        <f>IF(C218="","",C218-D218)</f>
        <v/>
      </c>
      <c r="G218" s="40" t="inlineStr"/>
    </row>
    <row r="219" ht="22" customHeight="1">
      <c r="A219" s="43" t="n">
        <v>46238</v>
      </c>
      <c r="B219" s="44" t="inlineStr">
        <is>
          <t>Tuesday</t>
        </is>
      </c>
      <c r="C219" s="44" t="inlineStr"/>
      <c r="D219" s="57">
        <f>'Goals &amp; Settings'!B5</f>
        <v/>
      </c>
      <c r="E219" s="58">
        <f>IF(C219="","",IF(C219&gt;=D219,1,0))</f>
        <v/>
      </c>
      <c r="F219" s="59">
        <f>IF(C219="","",C219-D219)</f>
        <v/>
      </c>
      <c r="G219" s="44" t="inlineStr"/>
    </row>
    <row r="220" ht="22" customHeight="1">
      <c r="A220" s="39" t="n">
        <v>46239</v>
      </c>
      <c r="B220" s="40" t="inlineStr">
        <is>
          <t>Wednesday</t>
        </is>
      </c>
      <c r="C220" s="40" t="inlineStr"/>
      <c r="D220" s="54">
        <f>'Goals &amp; Settings'!B5</f>
        <v/>
      </c>
      <c r="E220" s="55">
        <f>IF(C220="","",IF(C220&gt;=D220,1,0))</f>
        <v/>
      </c>
      <c r="F220" s="56">
        <f>IF(C220="","",C220-D220)</f>
        <v/>
      </c>
      <c r="G220" s="40" t="inlineStr"/>
    </row>
    <row r="221" ht="22" customHeight="1">
      <c r="A221" s="43" t="n">
        <v>46240</v>
      </c>
      <c r="B221" s="44" t="inlineStr">
        <is>
          <t>Thursday</t>
        </is>
      </c>
      <c r="C221" s="44" t="inlineStr"/>
      <c r="D221" s="57">
        <f>'Goals &amp; Settings'!B5</f>
        <v/>
      </c>
      <c r="E221" s="58">
        <f>IF(C221="","",IF(C221&gt;=D221,1,0))</f>
        <v/>
      </c>
      <c r="F221" s="59">
        <f>IF(C221="","",C221-D221)</f>
        <v/>
      </c>
      <c r="G221" s="44" t="inlineStr"/>
    </row>
    <row r="222" ht="22" customHeight="1">
      <c r="A222" s="39" t="n">
        <v>46241</v>
      </c>
      <c r="B222" s="40" t="inlineStr">
        <is>
          <t>Friday</t>
        </is>
      </c>
      <c r="C222" s="40" t="inlineStr"/>
      <c r="D222" s="54">
        <f>'Goals &amp; Settings'!B5</f>
        <v/>
      </c>
      <c r="E222" s="55">
        <f>IF(C222="","",IF(C222&gt;=D222,1,0))</f>
        <v/>
      </c>
      <c r="F222" s="56">
        <f>IF(C222="","",C222-D222)</f>
        <v/>
      </c>
      <c r="G222" s="40" t="inlineStr"/>
    </row>
    <row r="223" ht="22" customHeight="1">
      <c r="A223" s="43" t="n">
        <v>46242</v>
      </c>
      <c r="B223" s="44" t="inlineStr">
        <is>
          <t>Saturday</t>
        </is>
      </c>
      <c r="C223" s="44" t="inlineStr"/>
      <c r="D223" s="57">
        <f>'Goals &amp; Settings'!B5</f>
        <v/>
      </c>
      <c r="E223" s="58">
        <f>IF(C223="","",IF(C223&gt;=D223,1,0))</f>
        <v/>
      </c>
      <c r="F223" s="59">
        <f>IF(C223="","",C223-D223)</f>
        <v/>
      </c>
      <c r="G223" s="44" t="inlineStr"/>
    </row>
    <row r="224" ht="22" customHeight="1">
      <c r="A224" s="39" t="n">
        <v>46243</v>
      </c>
      <c r="B224" s="40" t="inlineStr">
        <is>
          <t>Sunday</t>
        </is>
      </c>
      <c r="C224" s="40" t="inlineStr"/>
      <c r="D224" s="54">
        <f>'Goals &amp; Settings'!B5</f>
        <v/>
      </c>
      <c r="E224" s="55">
        <f>IF(C224="","",IF(C224&gt;=D224,1,0))</f>
        <v/>
      </c>
      <c r="F224" s="56">
        <f>IF(C224="","",C224-D224)</f>
        <v/>
      </c>
      <c r="G224" s="40" t="inlineStr"/>
    </row>
    <row r="225" ht="22" customHeight="1">
      <c r="A225" s="43" t="n">
        <v>46244</v>
      </c>
      <c r="B225" s="44" t="inlineStr">
        <is>
          <t>Monday</t>
        </is>
      </c>
      <c r="C225" s="44" t="inlineStr"/>
      <c r="D225" s="57">
        <f>'Goals &amp; Settings'!B5</f>
        <v/>
      </c>
      <c r="E225" s="58">
        <f>IF(C225="","",IF(C225&gt;=D225,1,0))</f>
        <v/>
      </c>
      <c r="F225" s="59">
        <f>IF(C225="","",C225-D225)</f>
        <v/>
      </c>
      <c r="G225" s="44" t="inlineStr"/>
    </row>
    <row r="226" ht="22" customHeight="1">
      <c r="A226" s="39" t="n">
        <v>46245</v>
      </c>
      <c r="B226" s="40" t="inlineStr">
        <is>
          <t>Tuesday</t>
        </is>
      </c>
      <c r="C226" s="40" t="inlineStr"/>
      <c r="D226" s="54">
        <f>'Goals &amp; Settings'!B5</f>
        <v/>
      </c>
      <c r="E226" s="55">
        <f>IF(C226="","",IF(C226&gt;=D226,1,0))</f>
        <v/>
      </c>
      <c r="F226" s="56">
        <f>IF(C226="","",C226-D226)</f>
        <v/>
      </c>
      <c r="G226" s="40" t="inlineStr"/>
    </row>
    <row r="227" ht="22" customHeight="1">
      <c r="A227" s="43" t="n">
        <v>46246</v>
      </c>
      <c r="B227" s="44" t="inlineStr">
        <is>
          <t>Wednesday</t>
        </is>
      </c>
      <c r="C227" s="44" t="inlineStr"/>
      <c r="D227" s="57">
        <f>'Goals &amp; Settings'!B5</f>
        <v/>
      </c>
      <c r="E227" s="58">
        <f>IF(C227="","",IF(C227&gt;=D227,1,0))</f>
        <v/>
      </c>
      <c r="F227" s="59">
        <f>IF(C227="","",C227-D227)</f>
        <v/>
      </c>
      <c r="G227" s="44" t="inlineStr"/>
    </row>
    <row r="228" ht="22" customHeight="1">
      <c r="A228" s="39" t="n">
        <v>46247</v>
      </c>
      <c r="B228" s="40" t="inlineStr">
        <is>
          <t>Thursday</t>
        </is>
      </c>
      <c r="C228" s="40" t="inlineStr"/>
      <c r="D228" s="54">
        <f>'Goals &amp; Settings'!B5</f>
        <v/>
      </c>
      <c r="E228" s="55">
        <f>IF(C228="","",IF(C228&gt;=D228,1,0))</f>
        <v/>
      </c>
      <c r="F228" s="56">
        <f>IF(C228="","",C228-D228)</f>
        <v/>
      </c>
      <c r="G228" s="40" t="inlineStr"/>
    </row>
    <row r="229" ht="22" customHeight="1">
      <c r="A229" s="43" t="n">
        <v>46248</v>
      </c>
      <c r="B229" s="44" t="inlineStr">
        <is>
          <t>Friday</t>
        </is>
      </c>
      <c r="C229" s="44" t="inlineStr"/>
      <c r="D229" s="57">
        <f>'Goals &amp; Settings'!B5</f>
        <v/>
      </c>
      <c r="E229" s="58">
        <f>IF(C229="","",IF(C229&gt;=D229,1,0))</f>
        <v/>
      </c>
      <c r="F229" s="59">
        <f>IF(C229="","",C229-D229)</f>
        <v/>
      </c>
      <c r="G229" s="44" t="inlineStr"/>
    </row>
    <row r="230" ht="22" customHeight="1">
      <c r="A230" s="39" t="n">
        <v>46249</v>
      </c>
      <c r="B230" s="40" t="inlineStr">
        <is>
          <t>Saturday</t>
        </is>
      </c>
      <c r="C230" s="40" t="inlineStr"/>
      <c r="D230" s="54">
        <f>'Goals &amp; Settings'!B5</f>
        <v/>
      </c>
      <c r="E230" s="55">
        <f>IF(C230="","",IF(C230&gt;=D230,1,0))</f>
        <v/>
      </c>
      <c r="F230" s="56">
        <f>IF(C230="","",C230-D230)</f>
        <v/>
      </c>
      <c r="G230" s="40" t="inlineStr"/>
    </row>
    <row r="231" ht="22" customHeight="1">
      <c r="A231" s="43" t="n">
        <v>46250</v>
      </c>
      <c r="B231" s="44" t="inlineStr">
        <is>
          <t>Sunday</t>
        </is>
      </c>
      <c r="C231" s="44" t="inlineStr"/>
      <c r="D231" s="57">
        <f>'Goals &amp; Settings'!B5</f>
        <v/>
      </c>
      <c r="E231" s="58">
        <f>IF(C231="","",IF(C231&gt;=D231,1,0))</f>
        <v/>
      </c>
      <c r="F231" s="59">
        <f>IF(C231="","",C231-D231)</f>
        <v/>
      </c>
      <c r="G231" s="44" t="inlineStr"/>
    </row>
    <row r="232" ht="22" customHeight="1">
      <c r="A232" s="39" t="n">
        <v>46251</v>
      </c>
      <c r="B232" s="40" t="inlineStr">
        <is>
          <t>Monday</t>
        </is>
      </c>
      <c r="C232" s="40" t="inlineStr"/>
      <c r="D232" s="54">
        <f>'Goals &amp; Settings'!B5</f>
        <v/>
      </c>
      <c r="E232" s="55">
        <f>IF(C232="","",IF(C232&gt;=D232,1,0))</f>
        <v/>
      </c>
      <c r="F232" s="56">
        <f>IF(C232="","",C232-D232)</f>
        <v/>
      </c>
      <c r="G232" s="40" t="inlineStr"/>
    </row>
    <row r="233" ht="22" customHeight="1">
      <c r="A233" s="43" t="n">
        <v>46252</v>
      </c>
      <c r="B233" s="44" t="inlineStr">
        <is>
          <t>Tuesday</t>
        </is>
      </c>
      <c r="C233" s="44" t="inlineStr"/>
      <c r="D233" s="57">
        <f>'Goals &amp; Settings'!B5</f>
        <v/>
      </c>
      <c r="E233" s="58">
        <f>IF(C233="","",IF(C233&gt;=D233,1,0))</f>
        <v/>
      </c>
      <c r="F233" s="59">
        <f>IF(C233="","",C233-D233)</f>
        <v/>
      </c>
      <c r="G233" s="44" t="inlineStr"/>
    </row>
    <row r="234" ht="22" customHeight="1">
      <c r="A234" s="39" t="n">
        <v>46253</v>
      </c>
      <c r="B234" s="40" t="inlineStr">
        <is>
          <t>Wednesday</t>
        </is>
      </c>
      <c r="C234" s="40" t="inlineStr"/>
      <c r="D234" s="54">
        <f>'Goals &amp; Settings'!B5</f>
        <v/>
      </c>
      <c r="E234" s="55">
        <f>IF(C234="","",IF(C234&gt;=D234,1,0))</f>
        <v/>
      </c>
      <c r="F234" s="56">
        <f>IF(C234="","",C234-D234)</f>
        <v/>
      </c>
      <c r="G234" s="40" t="inlineStr"/>
    </row>
    <row r="235" ht="22" customHeight="1">
      <c r="A235" s="43" t="n">
        <v>46254</v>
      </c>
      <c r="B235" s="44" t="inlineStr">
        <is>
          <t>Thursday</t>
        </is>
      </c>
      <c r="C235" s="44" t="inlineStr"/>
      <c r="D235" s="57">
        <f>'Goals &amp; Settings'!B5</f>
        <v/>
      </c>
      <c r="E235" s="58">
        <f>IF(C235="","",IF(C235&gt;=D235,1,0))</f>
        <v/>
      </c>
      <c r="F235" s="59">
        <f>IF(C235="","",C235-D235)</f>
        <v/>
      </c>
      <c r="G235" s="44" t="inlineStr"/>
    </row>
    <row r="236" ht="22" customHeight="1">
      <c r="A236" s="39" t="n">
        <v>46255</v>
      </c>
      <c r="B236" s="40" t="inlineStr">
        <is>
          <t>Friday</t>
        </is>
      </c>
      <c r="C236" s="40" t="inlineStr"/>
      <c r="D236" s="54">
        <f>'Goals &amp; Settings'!B5</f>
        <v/>
      </c>
      <c r="E236" s="55">
        <f>IF(C236="","",IF(C236&gt;=D236,1,0))</f>
        <v/>
      </c>
      <c r="F236" s="56">
        <f>IF(C236="","",C236-D236)</f>
        <v/>
      </c>
      <c r="G236" s="40" t="inlineStr"/>
    </row>
    <row r="237" ht="22" customHeight="1">
      <c r="A237" s="43" t="n">
        <v>46256</v>
      </c>
      <c r="B237" s="44" t="inlineStr">
        <is>
          <t>Saturday</t>
        </is>
      </c>
      <c r="C237" s="44" t="inlineStr"/>
      <c r="D237" s="57">
        <f>'Goals &amp; Settings'!B5</f>
        <v/>
      </c>
      <c r="E237" s="58">
        <f>IF(C237="","",IF(C237&gt;=D237,1,0))</f>
        <v/>
      </c>
      <c r="F237" s="59">
        <f>IF(C237="","",C237-D237)</f>
        <v/>
      </c>
      <c r="G237" s="44" t="inlineStr"/>
    </row>
    <row r="238" ht="22" customHeight="1">
      <c r="A238" s="39" t="n">
        <v>46257</v>
      </c>
      <c r="B238" s="40" t="inlineStr">
        <is>
          <t>Sunday</t>
        </is>
      </c>
      <c r="C238" s="40" t="inlineStr"/>
      <c r="D238" s="54">
        <f>'Goals &amp; Settings'!B5</f>
        <v/>
      </c>
      <c r="E238" s="55">
        <f>IF(C238="","",IF(C238&gt;=D238,1,0))</f>
        <v/>
      </c>
      <c r="F238" s="56">
        <f>IF(C238="","",C238-D238)</f>
        <v/>
      </c>
      <c r="G238" s="40" t="inlineStr"/>
    </row>
    <row r="239" ht="22" customHeight="1">
      <c r="A239" s="43" t="n">
        <v>46258</v>
      </c>
      <c r="B239" s="44" t="inlineStr">
        <is>
          <t>Monday</t>
        </is>
      </c>
      <c r="C239" s="44" t="inlineStr"/>
      <c r="D239" s="57">
        <f>'Goals &amp; Settings'!B5</f>
        <v/>
      </c>
      <c r="E239" s="58">
        <f>IF(C239="","",IF(C239&gt;=D239,1,0))</f>
        <v/>
      </c>
      <c r="F239" s="59">
        <f>IF(C239="","",C239-D239)</f>
        <v/>
      </c>
      <c r="G239" s="44" t="inlineStr"/>
    </row>
    <row r="240" ht="22" customHeight="1">
      <c r="A240" s="39" t="n">
        <v>46259</v>
      </c>
      <c r="B240" s="40" t="inlineStr">
        <is>
          <t>Tuesday</t>
        </is>
      </c>
      <c r="C240" s="40" t="inlineStr"/>
      <c r="D240" s="54">
        <f>'Goals &amp; Settings'!B5</f>
        <v/>
      </c>
      <c r="E240" s="55">
        <f>IF(C240="","",IF(C240&gt;=D240,1,0))</f>
        <v/>
      </c>
      <c r="F240" s="56">
        <f>IF(C240="","",C240-D240)</f>
        <v/>
      </c>
      <c r="G240" s="40" t="inlineStr"/>
    </row>
    <row r="241" ht="22" customHeight="1">
      <c r="A241" s="43" t="n">
        <v>46260</v>
      </c>
      <c r="B241" s="44" t="inlineStr">
        <is>
          <t>Wednesday</t>
        </is>
      </c>
      <c r="C241" s="44" t="inlineStr"/>
      <c r="D241" s="57">
        <f>'Goals &amp; Settings'!B5</f>
        <v/>
      </c>
      <c r="E241" s="58">
        <f>IF(C241="","",IF(C241&gt;=D241,1,0))</f>
        <v/>
      </c>
      <c r="F241" s="59">
        <f>IF(C241="","",C241-D241)</f>
        <v/>
      </c>
      <c r="G241" s="44" t="inlineStr"/>
    </row>
    <row r="242" ht="22" customHeight="1">
      <c r="A242" s="39" t="n">
        <v>46261</v>
      </c>
      <c r="B242" s="40" t="inlineStr">
        <is>
          <t>Thursday</t>
        </is>
      </c>
      <c r="C242" s="40" t="inlineStr"/>
      <c r="D242" s="54">
        <f>'Goals &amp; Settings'!B5</f>
        <v/>
      </c>
      <c r="E242" s="55">
        <f>IF(C242="","",IF(C242&gt;=D242,1,0))</f>
        <v/>
      </c>
      <c r="F242" s="56">
        <f>IF(C242="","",C242-D242)</f>
        <v/>
      </c>
      <c r="G242" s="40" t="inlineStr"/>
    </row>
    <row r="243" ht="22" customHeight="1">
      <c r="A243" s="43" t="n">
        <v>46262</v>
      </c>
      <c r="B243" s="44" t="inlineStr">
        <is>
          <t>Friday</t>
        </is>
      </c>
      <c r="C243" s="44" t="inlineStr"/>
      <c r="D243" s="57">
        <f>'Goals &amp; Settings'!B5</f>
        <v/>
      </c>
      <c r="E243" s="58">
        <f>IF(C243="","",IF(C243&gt;=D243,1,0))</f>
        <v/>
      </c>
      <c r="F243" s="59">
        <f>IF(C243="","",C243-D243)</f>
        <v/>
      </c>
      <c r="G243" s="44" t="inlineStr"/>
    </row>
    <row r="244" ht="22" customHeight="1">
      <c r="A244" s="39" t="n">
        <v>46263</v>
      </c>
      <c r="B244" s="40" t="inlineStr">
        <is>
          <t>Saturday</t>
        </is>
      </c>
      <c r="C244" s="40" t="inlineStr"/>
      <c r="D244" s="54">
        <f>'Goals &amp; Settings'!B5</f>
        <v/>
      </c>
      <c r="E244" s="55">
        <f>IF(C244="","",IF(C244&gt;=D244,1,0))</f>
        <v/>
      </c>
      <c r="F244" s="56">
        <f>IF(C244="","",C244-D244)</f>
        <v/>
      </c>
      <c r="G244" s="40" t="inlineStr"/>
    </row>
    <row r="245" ht="22" customHeight="1">
      <c r="A245" s="43" t="n">
        <v>46264</v>
      </c>
      <c r="B245" s="44" t="inlineStr">
        <is>
          <t>Sunday</t>
        </is>
      </c>
      <c r="C245" s="44" t="inlineStr"/>
      <c r="D245" s="57">
        <f>'Goals &amp; Settings'!B5</f>
        <v/>
      </c>
      <c r="E245" s="58">
        <f>IF(C245="","",IF(C245&gt;=D245,1,0))</f>
        <v/>
      </c>
      <c r="F245" s="59">
        <f>IF(C245="","",C245-D245)</f>
        <v/>
      </c>
      <c r="G245" s="44" t="inlineStr"/>
    </row>
    <row r="246" ht="22" customHeight="1">
      <c r="A246" s="39" t="n">
        <v>46265</v>
      </c>
      <c r="B246" s="40" t="inlineStr">
        <is>
          <t>Monday</t>
        </is>
      </c>
      <c r="C246" s="40" t="inlineStr"/>
      <c r="D246" s="54">
        <f>'Goals &amp; Settings'!B5</f>
        <v/>
      </c>
      <c r="E246" s="55">
        <f>IF(C246="","",IF(C246&gt;=D246,1,0))</f>
        <v/>
      </c>
      <c r="F246" s="56">
        <f>IF(C246="","",C246-D246)</f>
        <v/>
      </c>
      <c r="G246" s="40" t="inlineStr"/>
    </row>
    <row r="247" ht="22" customHeight="1">
      <c r="A247" s="43" t="n">
        <v>46266</v>
      </c>
      <c r="B247" s="44" t="inlineStr">
        <is>
          <t>Tuesday</t>
        </is>
      </c>
      <c r="C247" s="44" t="inlineStr"/>
      <c r="D247" s="57">
        <f>'Goals &amp; Settings'!B5</f>
        <v/>
      </c>
      <c r="E247" s="58">
        <f>IF(C247="","",IF(C247&gt;=D247,1,0))</f>
        <v/>
      </c>
      <c r="F247" s="59">
        <f>IF(C247="","",C247-D247)</f>
        <v/>
      </c>
      <c r="G247" s="44" t="inlineStr"/>
    </row>
    <row r="248" ht="22" customHeight="1">
      <c r="A248" s="39" t="n">
        <v>46267</v>
      </c>
      <c r="B248" s="40" t="inlineStr">
        <is>
          <t>Wednesday</t>
        </is>
      </c>
      <c r="C248" s="40" t="inlineStr"/>
      <c r="D248" s="54">
        <f>'Goals &amp; Settings'!B5</f>
        <v/>
      </c>
      <c r="E248" s="55">
        <f>IF(C248="","",IF(C248&gt;=D248,1,0))</f>
        <v/>
      </c>
      <c r="F248" s="56">
        <f>IF(C248="","",C248-D248)</f>
        <v/>
      </c>
      <c r="G248" s="40" t="inlineStr"/>
    </row>
    <row r="249" ht="22" customHeight="1">
      <c r="A249" s="43" t="n">
        <v>46268</v>
      </c>
      <c r="B249" s="44" t="inlineStr">
        <is>
          <t>Thursday</t>
        </is>
      </c>
      <c r="C249" s="44" t="inlineStr"/>
      <c r="D249" s="57">
        <f>'Goals &amp; Settings'!B5</f>
        <v/>
      </c>
      <c r="E249" s="58">
        <f>IF(C249="","",IF(C249&gt;=D249,1,0))</f>
        <v/>
      </c>
      <c r="F249" s="59">
        <f>IF(C249="","",C249-D249)</f>
        <v/>
      </c>
      <c r="G249" s="44" t="inlineStr"/>
    </row>
    <row r="250" ht="22" customHeight="1">
      <c r="A250" s="39" t="n">
        <v>46269</v>
      </c>
      <c r="B250" s="40" t="inlineStr">
        <is>
          <t>Friday</t>
        </is>
      </c>
      <c r="C250" s="40" t="inlineStr"/>
      <c r="D250" s="54">
        <f>'Goals &amp; Settings'!B5</f>
        <v/>
      </c>
      <c r="E250" s="55">
        <f>IF(C250="","",IF(C250&gt;=D250,1,0))</f>
        <v/>
      </c>
      <c r="F250" s="56">
        <f>IF(C250="","",C250-D250)</f>
        <v/>
      </c>
      <c r="G250" s="40" t="inlineStr"/>
    </row>
    <row r="251" ht="22" customHeight="1">
      <c r="A251" s="43" t="n">
        <v>46270</v>
      </c>
      <c r="B251" s="44" t="inlineStr">
        <is>
          <t>Saturday</t>
        </is>
      </c>
      <c r="C251" s="44" t="inlineStr"/>
      <c r="D251" s="57">
        <f>'Goals &amp; Settings'!B5</f>
        <v/>
      </c>
      <c r="E251" s="58">
        <f>IF(C251="","",IF(C251&gt;=D251,1,0))</f>
        <v/>
      </c>
      <c r="F251" s="59">
        <f>IF(C251="","",C251-D251)</f>
        <v/>
      </c>
      <c r="G251" s="44" t="inlineStr"/>
    </row>
    <row r="252" ht="22" customHeight="1">
      <c r="A252" s="39" t="n">
        <v>46271</v>
      </c>
      <c r="B252" s="40" t="inlineStr">
        <is>
          <t>Sunday</t>
        </is>
      </c>
      <c r="C252" s="40" t="inlineStr"/>
      <c r="D252" s="54">
        <f>'Goals &amp; Settings'!B5</f>
        <v/>
      </c>
      <c r="E252" s="55">
        <f>IF(C252="","",IF(C252&gt;=D252,1,0))</f>
        <v/>
      </c>
      <c r="F252" s="56">
        <f>IF(C252="","",C252-D252)</f>
        <v/>
      </c>
      <c r="G252" s="40" t="inlineStr"/>
    </row>
    <row r="253" ht="22" customHeight="1">
      <c r="A253" s="43" t="n">
        <v>46272</v>
      </c>
      <c r="B253" s="44" t="inlineStr">
        <is>
          <t>Monday</t>
        </is>
      </c>
      <c r="C253" s="44" t="inlineStr"/>
      <c r="D253" s="57">
        <f>'Goals &amp; Settings'!B5</f>
        <v/>
      </c>
      <c r="E253" s="58">
        <f>IF(C253="","",IF(C253&gt;=D253,1,0))</f>
        <v/>
      </c>
      <c r="F253" s="59">
        <f>IF(C253="","",C253-D253)</f>
        <v/>
      </c>
      <c r="G253" s="44" t="inlineStr"/>
    </row>
    <row r="254" ht="22" customHeight="1">
      <c r="A254" s="39" t="n">
        <v>46273</v>
      </c>
      <c r="B254" s="40" t="inlineStr">
        <is>
          <t>Tuesday</t>
        </is>
      </c>
      <c r="C254" s="40" t="inlineStr"/>
      <c r="D254" s="54">
        <f>'Goals &amp; Settings'!B5</f>
        <v/>
      </c>
      <c r="E254" s="55">
        <f>IF(C254="","",IF(C254&gt;=D254,1,0))</f>
        <v/>
      </c>
      <c r="F254" s="56">
        <f>IF(C254="","",C254-D254)</f>
        <v/>
      </c>
      <c r="G254" s="40" t="inlineStr"/>
    </row>
    <row r="255" ht="22" customHeight="1">
      <c r="A255" s="43" t="n">
        <v>46274</v>
      </c>
      <c r="B255" s="44" t="inlineStr">
        <is>
          <t>Wednesday</t>
        </is>
      </c>
      <c r="C255" s="44" t="inlineStr"/>
      <c r="D255" s="57">
        <f>'Goals &amp; Settings'!B5</f>
        <v/>
      </c>
      <c r="E255" s="58">
        <f>IF(C255="","",IF(C255&gt;=D255,1,0))</f>
        <v/>
      </c>
      <c r="F255" s="59">
        <f>IF(C255="","",C255-D255)</f>
        <v/>
      </c>
      <c r="G255" s="44" t="inlineStr"/>
    </row>
    <row r="256" ht="22" customHeight="1">
      <c r="A256" s="39" t="n">
        <v>46275</v>
      </c>
      <c r="B256" s="40" t="inlineStr">
        <is>
          <t>Thursday</t>
        </is>
      </c>
      <c r="C256" s="40" t="inlineStr"/>
      <c r="D256" s="54">
        <f>'Goals &amp; Settings'!B5</f>
        <v/>
      </c>
      <c r="E256" s="55">
        <f>IF(C256="","",IF(C256&gt;=D256,1,0))</f>
        <v/>
      </c>
      <c r="F256" s="56">
        <f>IF(C256="","",C256-D256)</f>
        <v/>
      </c>
      <c r="G256" s="40" t="inlineStr"/>
    </row>
    <row r="257" ht="22" customHeight="1">
      <c r="A257" s="43" t="n">
        <v>46276</v>
      </c>
      <c r="B257" s="44" t="inlineStr">
        <is>
          <t>Friday</t>
        </is>
      </c>
      <c r="C257" s="44" t="inlineStr"/>
      <c r="D257" s="57">
        <f>'Goals &amp; Settings'!B5</f>
        <v/>
      </c>
      <c r="E257" s="58">
        <f>IF(C257="","",IF(C257&gt;=D257,1,0))</f>
        <v/>
      </c>
      <c r="F257" s="59">
        <f>IF(C257="","",C257-D257)</f>
        <v/>
      </c>
      <c r="G257" s="44" t="inlineStr"/>
    </row>
    <row r="258" ht="22" customHeight="1">
      <c r="A258" s="39" t="n">
        <v>46277</v>
      </c>
      <c r="B258" s="40" t="inlineStr">
        <is>
          <t>Saturday</t>
        </is>
      </c>
      <c r="C258" s="40" t="inlineStr"/>
      <c r="D258" s="54">
        <f>'Goals &amp; Settings'!B5</f>
        <v/>
      </c>
      <c r="E258" s="55">
        <f>IF(C258="","",IF(C258&gt;=D258,1,0))</f>
        <v/>
      </c>
      <c r="F258" s="56">
        <f>IF(C258="","",C258-D258)</f>
        <v/>
      </c>
      <c r="G258" s="40" t="inlineStr"/>
    </row>
    <row r="259" ht="22" customHeight="1">
      <c r="A259" s="43" t="n">
        <v>46278</v>
      </c>
      <c r="B259" s="44" t="inlineStr">
        <is>
          <t>Sunday</t>
        </is>
      </c>
      <c r="C259" s="44" t="inlineStr"/>
      <c r="D259" s="57">
        <f>'Goals &amp; Settings'!B5</f>
        <v/>
      </c>
      <c r="E259" s="58">
        <f>IF(C259="","",IF(C259&gt;=D259,1,0))</f>
        <v/>
      </c>
      <c r="F259" s="59">
        <f>IF(C259="","",C259-D259)</f>
        <v/>
      </c>
      <c r="G259" s="44" t="inlineStr"/>
    </row>
    <row r="260" ht="22" customHeight="1">
      <c r="A260" s="39" t="n">
        <v>46279</v>
      </c>
      <c r="B260" s="40" t="inlineStr">
        <is>
          <t>Monday</t>
        </is>
      </c>
      <c r="C260" s="40" t="inlineStr"/>
      <c r="D260" s="54">
        <f>'Goals &amp; Settings'!B5</f>
        <v/>
      </c>
      <c r="E260" s="55">
        <f>IF(C260="","",IF(C260&gt;=D260,1,0))</f>
        <v/>
      </c>
      <c r="F260" s="56">
        <f>IF(C260="","",C260-D260)</f>
        <v/>
      </c>
      <c r="G260" s="40" t="inlineStr"/>
    </row>
    <row r="261" ht="22" customHeight="1">
      <c r="A261" s="43" t="n">
        <v>46280</v>
      </c>
      <c r="B261" s="44" t="inlineStr">
        <is>
          <t>Tuesday</t>
        </is>
      </c>
      <c r="C261" s="44" t="inlineStr"/>
      <c r="D261" s="57">
        <f>'Goals &amp; Settings'!B5</f>
        <v/>
      </c>
      <c r="E261" s="58">
        <f>IF(C261="","",IF(C261&gt;=D261,1,0))</f>
        <v/>
      </c>
      <c r="F261" s="59">
        <f>IF(C261="","",C261-D261)</f>
        <v/>
      </c>
      <c r="G261" s="44" t="inlineStr"/>
    </row>
    <row r="262" ht="22" customHeight="1">
      <c r="A262" s="39" t="n">
        <v>46281</v>
      </c>
      <c r="B262" s="40" t="inlineStr">
        <is>
          <t>Wednesday</t>
        </is>
      </c>
      <c r="C262" s="40" t="inlineStr"/>
      <c r="D262" s="54">
        <f>'Goals &amp; Settings'!B5</f>
        <v/>
      </c>
      <c r="E262" s="55">
        <f>IF(C262="","",IF(C262&gt;=D262,1,0))</f>
        <v/>
      </c>
      <c r="F262" s="56">
        <f>IF(C262="","",C262-D262)</f>
        <v/>
      </c>
      <c r="G262" s="40" t="inlineStr"/>
    </row>
    <row r="263" ht="22" customHeight="1">
      <c r="A263" s="43" t="n">
        <v>46282</v>
      </c>
      <c r="B263" s="44" t="inlineStr">
        <is>
          <t>Thursday</t>
        </is>
      </c>
      <c r="C263" s="44" t="inlineStr"/>
      <c r="D263" s="57">
        <f>'Goals &amp; Settings'!B5</f>
        <v/>
      </c>
      <c r="E263" s="58">
        <f>IF(C263="","",IF(C263&gt;=D263,1,0))</f>
        <v/>
      </c>
      <c r="F263" s="59">
        <f>IF(C263="","",C263-D263)</f>
        <v/>
      </c>
      <c r="G263" s="44" t="inlineStr"/>
    </row>
    <row r="264" ht="22" customHeight="1">
      <c r="A264" s="39" t="n">
        <v>46283</v>
      </c>
      <c r="B264" s="40" t="inlineStr">
        <is>
          <t>Friday</t>
        </is>
      </c>
      <c r="C264" s="40" t="inlineStr"/>
      <c r="D264" s="54">
        <f>'Goals &amp; Settings'!B5</f>
        <v/>
      </c>
      <c r="E264" s="55">
        <f>IF(C264="","",IF(C264&gt;=D264,1,0))</f>
        <v/>
      </c>
      <c r="F264" s="56">
        <f>IF(C264="","",C264-D264)</f>
        <v/>
      </c>
      <c r="G264" s="40" t="inlineStr"/>
    </row>
    <row r="265" ht="22" customHeight="1">
      <c r="A265" s="43" t="n">
        <v>46284</v>
      </c>
      <c r="B265" s="44" t="inlineStr">
        <is>
          <t>Saturday</t>
        </is>
      </c>
      <c r="C265" s="44" t="inlineStr"/>
      <c r="D265" s="57">
        <f>'Goals &amp; Settings'!B5</f>
        <v/>
      </c>
      <c r="E265" s="58">
        <f>IF(C265="","",IF(C265&gt;=D265,1,0))</f>
        <v/>
      </c>
      <c r="F265" s="59">
        <f>IF(C265="","",C265-D265)</f>
        <v/>
      </c>
      <c r="G265" s="44" t="inlineStr"/>
    </row>
    <row r="266" ht="22" customHeight="1">
      <c r="A266" s="39" t="n">
        <v>46285</v>
      </c>
      <c r="B266" s="40" t="inlineStr">
        <is>
          <t>Sunday</t>
        </is>
      </c>
      <c r="C266" s="40" t="inlineStr"/>
      <c r="D266" s="54">
        <f>'Goals &amp; Settings'!B5</f>
        <v/>
      </c>
      <c r="E266" s="55">
        <f>IF(C266="","",IF(C266&gt;=D266,1,0))</f>
        <v/>
      </c>
      <c r="F266" s="56">
        <f>IF(C266="","",C266-D266)</f>
        <v/>
      </c>
      <c r="G266" s="40" t="inlineStr"/>
    </row>
    <row r="267" ht="22" customHeight="1">
      <c r="A267" s="43" t="n">
        <v>46286</v>
      </c>
      <c r="B267" s="44" t="inlineStr">
        <is>
          <t>Monday</t>
        </is>
      </c>
      <c r="C267" s="44" t="inlineStr"/>
      <c r="D267" s="57">
        <f>'Goals &amp; Settings'!B5</f>
        <v/>
      </c>
      <c r="E267" s="58">
        <f>IF(C267="","",IF(C267&gt;=D267,1,0))</f>
        <v/>
      </c>
      <c r="F267" s="59">
        <f>IF(C267="","",C267-D267)</f>
        <v/>
      </c>
      <c r="G267" s="44" t="inlineStr"/>
    </row>
    <row r="268" ht="22" customHeight="1">
      <c r="A268" s="39" t="n">
        <v>46287</v>
      </c>
      <c r="B268" s="40" t="inlineStr">
        <is>
          <t>Tuesday</t>
        </is>
      </c>
      <c r="C268" s="40" t="inlineStr"/>
      <c r="D268" s="54">
        <f>'Goals &amp; Settings'!B5</f>
        <v/>
      </c>
      <c r="E268" s="55">
        <f>IF(C268="","",IF(C268&gt;=D268,1,0))</f>
        <v/>
      </c>
      <c r="F268" s="56">
        <f>IF(C268="","",C268-D268)</f>
        <v/>
      </c>
      <c r="G268" s="40" t="inlineStr"/>
    </row>
    <row r="269" ht="22" customHeight="1">
      <c r="A269" s="43" t="n">
        <v>46288</v>
      </c>
      <c r="B269" s="44" t="inlineStr">
        <is>
          <t>Wednesday</t>
        </is>
      </c>
      <c r="C269" s="44" t="inlineStr"/>
      <c r="D269" s="57">
        <f>'Goals &amp; Settings'!B5</f>
        <v/>
      </c>
      <c r="E269" s="58">
        <f>IF(C269="","",IF(C269&gt;=D269,1,0))</f>
        <v/>
      </c>
      <c r="F269" s="59">
        <f>IF(C269="","",C269-D269)</f>
        <v/>
      </c>
      <c r="G269" s="44" t="inlineStr"/>
    </row>
    <row r="270" ht="22" customHeight="1">
      <c r="A270" s="39" t="n">
        <v>46289</v>
      </c>
      <c r="B270" s="40" t="inlineStr">
        <is>
          <t>Thursday</t>
        </is>
      </c>
      <c r="C270" s="40" t="inlineStr"/>
      <c r="D270" s="54">
        <f>'Goals &amp; Settings'!B5</f>
        <v/>
      </c>
      <c r="E270" s="55">
        <f>IF(C270="","",IF(C270&gt;=D270,1,0))</f>
        <v/>
      </c>
      <c r="F270" s="56">
        <f>IF(C270="","",C270-D270)</f>
        <v/>
      </c>
      <c r="G270" s="40" t="inlineStr"/>
    </row>
    <row r="271" ht="22" customHeight="1">
      <c r="A271" s="43" t="n">
        <v>46290</v>
      </c>
      <c r="B271" s="44" t="inlineStr">
        <is>
          <t>Friday</t>
        </is>
      </c>
      <c r="C271" s="44" t="inlineStr"/>
      <c r="D271" s="57">
        <f>'Goals &amp; Settings'!B5</f>
        <v/>
      </c>
      <c r="E271" s="58">
        <f>IF(C271="","",IF(C271&gt;=D271,1,0))</f>
        <v/>
      </c>
      <c r="F271" s="59">
        <f>IF(C271="","",C271-D271)</f>
        <v/>
      </c>
      <c r="G271" s="44" t="inlineStr"/>
    </row>
    <row r="272" ht="22" customHeight="1">
      <c r="A272" s="39" t="n">
        <v>46291</v>
      </c>
      <c r="B272" s="40" t="inlineStr">
        <is>
          <t>Saturday</t>
        </is>
      </c>
      <c r="C272" s="40" t="inlineStr"/>
      <c r="D272" s="54">
        <f>'Goals &amp; Settings'!B5</f>
        <v/>
      </c>
      <c r="E272" s="55">
        <f>IF(C272="","",IF(C272&gt;=D272,1,0))</f>
        <v/>
      </c>
      <c r="F272" s="56">
        <f>IF(C272="","",C272-D272)</f>
        <v/>
      </c>
      <c r="G272" s="40" t="inlineStr"/>
    </row>
    <row r="273" ht="22" customHeight="1">
      <c r="A273" s="43" t="n">
        <v>46292</v>
      </c>
      <c r="B273" s="44" t="inlineStr">
        <is>
          <t>Sunday</t>
        </is>
      </c>
      <c r="C273" s="44" t="inlineStr"/>
      <c r="D273" s="57">
        <f>'Goals &amp; Settings'!B5</f>
        <v/>
      </c>
      <c r="E273" s="58">
        <f>IF(C273="","",IF(C273&gt;=D273,1,0))</f>
        <v/>
      </c>
      <c r="F273" s="59">
        <f>IF(C273="","",C273-D273)</f>
        <v/>
      </c>
      <c r="G273" s="44" t="inlineStr"/>
    </row>
    <row r="274" ht="22" customHeight="1">
      <c r="A274" s="39" t="n">
        <v>46293</v>
      </c>
      <c r="B274" s="40" t="inlineStr">
        <is>
          <t>Monday</t>
        </is>
      </c>
      <c r="C274" s="40" t="inlineStr"/>
      <c r="D274" s="54">
        <f>'Goals &amp; Settings'!B5</f>
        <v/>
      </c>
      <c r="E274" s="55">
        <f>IF(C274="","",IF(C274&gt;=D274,1,0))</f>
        <v/>
      </c>
      <c r="F274" s="56">
        <f>IF(C274="","",C274-D274)</f>
        <v/>
      </c>
      <c r="G274" s="40" t="inlineStr"/>
    </row>
    <row r="275" ht="22" customHeight="1">
      <c r="A275" s="43" t="n">
        <v>46294</v>
      </c>
      <c r="B275" s="44" t="inlineStr">
        <is>
          <t>Tuesday</t>
        </is>
      </c>
      <c r="C275" s="44" t="inlineStr"/>
      <c r="D275" s="57">
        <f>'Goals &amp; Settings'!B5</f>
        <v/>
      </c>
      <c r="E275" s="58">
        <f>IF(C275="","",IF(C275&gt;=D275,1,0))</f>
        <v/>
      </c>
      <c r="F275" s="59">
        <f>IF(C275="","",C275-D275)</f>
        <v/>
      </c>
      <c r="G275" s="44" t="inlineStr"/>
    </row>
    <row r="276" ht="22" customHeight="1">
      <c r="A276" s="39" t="n">
        <v>46295</v>
      </c>
      <c r="B276" s="40" t="inlineStr">
        <is>
          <t>Wednesday</t>
        </is>
      </c>
      <c r="C276" s="40" t="inlineStr"/>
      <c r="D276" s="54">
        <f>'Goals &amp; Settings'!B5</f>
        <v/>
      </c>
      <c r="E276" s="55">
        <f>IF(C276="","",IF(C276&gt;=D276,1,0))</f>
        <v/>
      </c>
      <c r="F276" s="56">
        <f>IF(C276="","",C276-D276)</f>
        <v/>
      </c>
      <c r="G276" s="40" t="inlineStr"/>
    </row>
    <row r="277" ht="22" customHeight="1">
      <c r="A277" s="43" t="n">
        <v>46296</v>
      </c>
      <c r="B277" s="44" t="inlineStr">
        <is>
          <t>Thursday</t>
        </is>
      </c>
      <c r="C277" s="44" t="inlineStr"/>
      <c r="D277" s="57">
        <f>'Goals &amp; Settings'!B5</f>
        <v/>
      </c>
      <c r="E277" s="58">
        <f>IF(C277="","",IF(C277&gt;=D277,1,0))</f>
        <v/>
      </c>
      <c r="F277" s="59">
        <f>IF(C277="","",C277-D277)</f>
        <v/>
      </c>
      <c r="G277" s="44" t="inlineStr"/>
    </row>
    <row r="278" ht="22" customHeight="1">
      <c r="A278" s="39" t="n">
        <v>46297</v>
      </c>
      <c r="B278" s="40" t="inlineStr">
        <is>
          <t>Friday</t>
        </is>
      </c>
      <c r="C278" s="40" t="inlineStr"/>
      <c r="D278" s="54">
        <f>'Goals &amp; Settings'!B5</f>
        <v/>
      </c>
      <c r="E278" s="55">
        <f>IF(C278="","",IF(C278&gt;=D278,1,0))</f>
        <v/>
      </c>
      <c r="F278" s="56">
        <f>IF(C278="","",C278-D278)</f>
        <v/>
      </c>
      <c r="G278" s="40" t="inlineStr"/>
    </row>
    <row r="279" ht="22" customHeight="1">
      <c r="A279" s="43" t="n">
        <v>46298</v>
      </c>
      <c r="B279" s="44" t="inlineStr">
        <is>
          <t>Saturday</t>
        </is>
      </c>
      <c r="C279" s="44" t="inlineStr"/>
      <c r="D279" s="57">
        <f>'Goals &amp; Settings'!B5</f>
        <v/>
      </c>
      <c r="E279" s="58">
        <f>IF(C279="","",IF(C279&gt;=D279,1,0))</f>
        <v/>
      </c>
      <c r="F279" s="59">
        <f>IF(C279="","",C279-D279)</f>
        <v/>
      </c>
      <c r="G279" s="44" t="inlineStr"/>
    </row>
    <row r="280" ht="22" customHeight="1">
      <c r="A280" s="39" t="n">
        <v>46299</v>
      </c>
      <c r="B280" s="40" t="inlineStr">
        <is>
          <t>Sunday</t>
        </is>
      </c>
      <c r="C280" s="40" t="inlineStr"/>
      <c r="D280" s="54">
        <f>'Goals &amp; Settings'!B5</f>
        <v/>
      </c>
      <c r="E280" s="55">
        <f>IF(C280="","",IF(C280&gt;=D280,1,0))</f>
        <v/>
      </c>
      <c r="F280" s="56">
        <f>IF(C280="","",C280-D280)</f>
        <v/>
      </c>
      <c r="G280" s="40" t="inlineStr"/>
    </row>
    <row r="281" ht="22" customHeight="1">
      <c r="A281" s="43" t="n">
        <v>46300</v>
      </c>
      <c r="B281" s="44" t="inlineStr">
        <is>
          <t>Monday</t>
        </is>
      </c>
      <c r="C281" s="44" t="inlineStr"/>
      <c r="D281" s="57">
        <f>'Goals &amp; Settings'!B5</f>
        <v/>
      </c>
      <c r="E281" s="58">
        <f>IF(C281="","",IF(C281&gt;=D281,1,0))</f>
        <v/>
      </c>
      <c r="F281" s="59">
        <f>IF(C281="","",C281-D281)</f>
        <v/>
      </c>
      <c r="G281" s="44" t="inlineStr"/>
    </row>
    <row r="282" ht="22" customHeight="1">
      <c r="A282" s="39" t="n">
        <v>46301</v>
      </c>
      <c r="B282" s="40" t="inlineStr">
        <is>
          <t>Tuesday</t>
        </is>
      </c>
      <c r="C282" s="40" t="inlineStr"/>
      <c r="D282" s="54">
        <f>'Goals &amp; Settings'!B5</f>
        <v/>
      </c>
      <c r="E282" s="55">
        <f>IF(C282="","",IF(C282&gt;=D282,1,0))</f>
        <v/>
      </c>
      <c r="F282" s="56">
        <f>IF(C282="","",C282-D282)</f>
        <v/>
      </c>
      <c r="G282" s="40" t="inlineStr"/>
    </row>
    <row r="283" ht="22" customHeight="1">
      <c r="A283" s="43" t="n">
        <v>46302</v>
      </c>
      <c r="B283" s="44" t="inlineStr">
        <is>
          <t>Wednesday</t>
        </is>
      </c>
      <c r="C283" s="44" t="inlineStr"/>
      <c r="D283" s="57">
        <f>'Goals &amp; Settings'!B5</f>
        <v/>
      </c>
      <c r="E283" s="58">
        <f>IF(C283="","",IF(C283&gt;=D283,1,0))</f>
        <v/>
      </c>
      <c r="F283" s="59">
        <f>IF(C283="","",C283-D283)</f>
        <v/>
      </c>
      <c r="G283" s="44" t="inlineStr"/>
    </row>
    <row r="284" ht="22" customHeight="1">
      <c r="A284" s="39" t="n">
        <v>46303</v>
      </c>
      <c r="B284" s="40" t="inlineStr">
        <is>
          <t>Thursday</t>
        </is>
      </c>
      <c r="C284" s="40" t="inlineStr"/>
      <c r="D284" s="54">
        <f>'Goals &amp; Settings'!B5</f>
        <v/>
      </c>
      <c r="E284" s="55">
        <f>IF(C284="","",IF(C284&gt;=D284,1,0))</f>
        <v/>
      </c>
      <c r="F284" s="56">
        <f>IF(C284="","",C284-D284)</f>
        <v/>
      </c>
      <c r="G284" s="40" t="inlineStr"/>
    </row>
    <row r="285" ht="22" customHeight="1">
      <c r="A285" s="43" t="n">
        <v>46304</v>
      </c>
      <c r="B285" s="44" t="inlineStr">
        <is>
          <t>Friday</t>
        </is>
      </c>
      <c r="C285" s="44" t="inlineStr"/>
      <c r="D285" s="57">
        <f>'Goals &amp; Settings'!B5</f>
        <v/>
      </c>
      <c r="E285" s="58">
        <f>IF(C285="","",IF(C285&gt;=D285,1,0))</f>
        <v/>
      </c>
      <c r="F285" s="59">
        <f>IF(C285="","",C285-D285)</f>
        <v/>
      </c>
      <c r="G285" s="44" t="inlineStr"/>
    </row>
    <row r="286" ht="22" customHeight="1">
      <c r="A286" s="39" t="n">
        <v>46305</v>
      </c>
      <c r="B286" s="40" t="inlineStr">
        <is>
          <t>Saturday</t>
        </is>
      </c>
      <c r="C286" s="40" t="inlineStr"/>
      <c r="D286" s="54">
        <f>'Goals &amp; Settings'!B5</f>
        <v/>
      </c>
      <c r="E286" s="55">
        <f>IF(C286="","",IF(C286&gt;=D286,1,0))</f>
        <v/>
      </c>
      <c r="F286" s="56">
        <f>IF(C286="","",C286-D286)</f>
        <v/>
      </c>
      <c r="G286" s="40" t="inlineStr"/>
    </row>
    <row r="287" ht="22" customHeight="1">
      <c r="A287" s="43" t="n">
        <v>46306</v>
      </c>
      <c r="B287" s="44" t="inlineStr">
        <is>
          <t>Sunday</t>
        </is>
      </c>
      <c r="C287" s="44" t="inlineStr"/>
      <c r="D287" s="57">
        <f>'Goals &amp; Settings'!B5</f>
        <v/>
      </c>
      <c r="E287" s="58">
        <f>IF(C287="","",IF(C287&gt;=D287,1,0))</f>
        <v/>
      </c>
      <c r="F287" s="59">
        <f>IF(C287="","",C287-D287)</f>
        <v/>
      </c>
      <c r="G287" s="44" t="inlineStr"/>
    </row>
    <row r="288" ht="22" customHeight="1">
      <c r="A288" s="39" t="n">
        <v>46307</v>
      </c>
      <c r="B288" s="40" t="inlineStr">
        <is>
          <t>Monday</t>
        </is>
      </c>
      <c r="C288" s="40" t="inlineStr"/>
      <c r="D288" s="54">
        <f>'Goals &amp; Settings'!B5</f>
        <v/>
      </c>
      <c r="E288" s="55">
        <f>IF(C288="","",IF(C288&gt;=D288,1,0))</f>
        <v/>
      </c>
      <c r="F288" s="56">
        <f>IF(C288="","",C288-D288)</f>
        <v/>
      </c>
      <c r="G288" s="40" t="inlineStr"/>
    </row>
    <row r="289" ht="22" customHeight="1">
      <c r="A289" s="43" t="n">
        <v>46308</v>
      </c>
      <c r="B289" s="44" t="inlineStr">
        <is>
          <t>Tuesday</t>
        </is>
      </c>
      <c r="C289" s="44" t="inlineStr"/>
      <c r="D289" s="57">
        <f>'Goals &amp; Settings'!B5</f>
        <v/>
      </c>
      <c r="E289" s="58">
        <f>IF(C289="","",IF(C289&gt;=D289,1,0))</f>
        <v/>
      </c>
      <c r="F289" s="59">
        <f>IF(C289="","",C289-D289)</f>
        <v/>
      </c>
      <c r="G289" s="44" t="inlineStr"/>
    </row>
    <row r="290" ht="22" customHeight="1">
      <c r="A290" s="39" t="n">
        <v>46309</v>
      </c>
      <c r="B290" s="40" t="inlineStr">
        <is>
          <t>Wednesday</t>
        </is>
      </c>
      <c r="C290" s="40" t="inlineStr"/>
      <c r="D290" s="54">
        <f>'Goals &amp; Settings'!B5</f>
        <v/>
      </c>
      <c r="E290" s="55">
        <f>IF(C290="","",IF(C290&gt;=D290,1,0))</f>
        <v/>
      </c>
      <c r="F290" s="56">
        <f>IF(C290="","",C290-D290)</f>
        <v/>
      </c>
      <c r="G290" s="40" t="inlineStr"/>
    </row>
    <row r="291" ht="22" customHeight="1">
      <c r="A291" s="43" t="n">
        <v>46310</v>
      </c>
      <c r="B291" s="44" t="inlineStr">
        <is>
          <t>Thursday</t>
        </is>
      </c>
      <c r="C291" s="44" t="inlineStr"/>
      <c r="D291" s="57">
        <f>'Goals &amp; Settings'!B5</f>
        <v/>
      </c>
      <c r="E291" s="58">
        <f>IF(C291="","",IF(C291&gt;=D291,1,0))</f>
        <v/>
      </c>
      <c r="F291" s="59">
        <f>IF(C291="","",C291-D291)</f>
        <v/>
      </c>
      <c r="G291" s="44" t="inlineStr"/>
    </row>
    <row r="292" ht="22" customHeight="1">
      <c r="A292" s="39" t="n">
        <v>46311</v>
      </c>
      <c r="B292" s="40" t="inlineStr">
        <is>
          <t>Friday</t>
        </is>
      </c>
      <c r="C292" s="40" t="inlineStr"/>
      <c r="D292" s="54">
        <f>'Goals &amp; Settings'!B5</f>
        <v/>
      </c>
      <c r="E292" s="55">
        <f>IF(C292="","",IF(C292&gt;=D292,1,0))</f>
        <v/>
      </c>
      <c r="F292" s="56">
        <f>IF(C292="","",C292-D292)</f>
        <v/>
      </c>
      <c r="G292" s="40" t="inlineStr"/>
    </row>
    <row r="293" ht="22" customHeight="1">
      <c r="A293" s="43" t="n">
        <v>46312</v>
      </c>
      <c r="B293" s="44" t="inlineStr">
        <is>
          <t>Saturday</t>
        </is>
      </c>
      <c r="C293" s="44" t="inlineStr"/>
      <c r="D293" s="57">
        <f>'Goals &amp; Settings'!B5</f>
        <v/>
      </c>
      <c r="E293" s="58">
        <f>IF(C293="","",IF(C293&gt;=D293,1,0))</f>
        <v/>
      </c>
      <c r="F293" s="59">
        <f>IF(C293="","",C293-D293)</f>
        <v/>
      </c>
      <c r="G293" s="44" t="inlineStr"/>
    </row>
    <row r="294" ht="22" customHeight="1">
      <c r="A294" s="39" t="n">
        <v>46313</v>
      </c>
      <c r="B294" s="40" t="inlineStr">
        <is>
          <t>Sunday</t>
        </is>
      </c>
      <c r="C294" s="40" t="inlineStr"/>
      <c r="D294" s="54">
        <f>'Goals &amp; Settings'!B5</f>
        <v/>
      </c>
      <c r="E294" s="55">
        <f>IF(C294="","",IF(C294&gt;=D294,1,0))</f>
        <v/>
      </c>
      <c r="F294" s="56">
        <f>IF(C294="","",C294-D294)</f>
        <v/>
      </c>
      <c r="G294" s="40" t="inlineStr"/>
    </row>
    <row r="295" ht="22" customHeight="1">
      <c r="A295" s="43" t="n">
        <v>46314</v>
      </c>
      <c r="B295" s="44" t="inlineStr">
        <is>
          <t>Monday</t>
        </is>
      </c>
      <c r="C295" s="44" t="inlineStr"/>
      <c r="D295" s="57">
        <f>'Goals &amp; Settings'!B5</f>
        <v/>
      </c>
      <c r="E295" s="58">
        <f>IF(C295="","",IF(C295&gt;=D295,1,0))</f>
        <v/>
      </c>
      <c r="F295" s="59">
        <f>IF(C295="","",C295-D295)</f>
        <v/>
      </c>
      <c r="G295" s="44" t="inlineStr"/>
    </row>
    <row r="296" ht="22" customHeight="1">
      <c r="A296" s="39" t="n">
        <v>46315</v>
      </c>
      <c r="B296" s="40" t="inlineStr">
        <is>
          <t>Tuesday</t>
        </is>
      </c>
      <c r="C296" s="40" t="inlineStr"/>
      <c r="D296" s="54">
        <f>'Goals &amp; Settings'!B5</f>
        <v/>
      </c>
      <c r="E296" s="55">
        <f>IF(C296="","",IF(C296&gt;=D296,1,0))</f>
        <v/>
      </c>
      <c r="F296" s="56">
        <f>IF(C296="","",C296-D296)</f>
        <v/>
      </c>
      <c r="G296" s="40" t="inlineStr"/>
    </row>
    <row r="297" ht="22" customHeight="1">
      <c r="A297" s="43" t="n">
        <v>46316</v>
      </c>
      <c r="B297" s="44" t="inlineStr">
        <is>
          <t>Wednesday</t>
        </is>
      </c>
      <c r="C297" s="44" t="inlineStr"/>
      <c r="D297" s="57">
        <f>'Goals &amp; Settings'!B5</f>
        <v/>
      </c>
      <c r="E297" s="58">
        <f>IF(C297="","",IF(C297&gt;=D297,1,0))</f>
        <v/>
      </c>
      <c r="F297" s="59">
        <f>IF(C297="","",C297-D297)</f>
        <v/>
      </c>
      <c r="G297" s="44" t="inlineStr"/>
    </row>
    <row r="298" ht="22" customHeight="1">
      <c r="A298" s="39" t="n">
        <v>46317</v>
      </c>
      <c r="B298" s="40" t="inlineStr">
        <is>
          <t>Thursday</t>
        </is>
      </c>
      <c r="C298" s="40" t="inlineStr"/>
      <c r="D298" s="54">
        <f>'Goals &amp; Settings'!B5</f>
        <v/>
      </c>
      <c r="E298" s="55">
        <f>IF(C298="","",IF(C298&gt;=D298,1,0))</f>
        <v/>
      </c>
      <c r="F298" s="56">
        <f>IF(C298="","",C298-D298)</f>
        <v/>
      </c>
      <c r="G298" s="40" t="inlineStr"/>
    </row>
    <row r="299" ht="22" customHeight="1">
      <c r="A299" s="43" t="n">
        <v>46318</v>
      </c>
      <c r="B299" s="44" t="inlineStr">
        <is>
          <t>Friday</t>
        </is>
      </c>
      <c r="C299" s="44" t="inlineStr"/>
      <c r="D299" s="57">
        <f>'Goals &amp; Settings'!B5</f>
        <v/>
      </c>
      <c r="E299" s="58">
        <f>IF(C299="","",IF(C299&gt;=D299,1,0))</f>
        <v/>
      </c>
      <c r="F299" s="59">
        <f>IF(C299="","",C299-D299)</f>
        <v/>
      </c>
      <c r="G299" s="44" t="inlineStr"/>
    </row>
    <row r="300" ht="22" customHeight="1">
      <c r="A300" s="39" t="n">
        <v>46319</v>
      </c>
      <c r="B300" s="40" t="inlineStr">
        <is>
          <t>Saturday</t>
        </is>
      </c>
      <c r="C300" s="40" t="inlineStr"/>
      <c r="D300" s="54">
        <f>'Goals &amp; Settings'!B5</f>
        <v/>
      </c>
      <c r="E300" s="55">
        <f>IF(C300="","",IF(C300&gt;=D300,1,0))</f>
        <v/>
      </c>
      <c r="F300" s="56">
        <f>IF(C300="","",C300-D300)</f>
        <v/>
      </c>
      <c r="G300" s="40" t="inlineStr"/>
    </row>
    <row r="301" ht="22" customHeight="1">
      <c r="A301" s="43" t="n">
        <v>46320</v>
      </c>
      <c r="B301" s="44" t="inlineStr">
        <is>
          <t>Sunday</t>
        </is>
      </c>
      <c r="C301" s="44" t="inlineStr"/>
      <c r="D301" s="57">
        <f>'Goals &amp; Settings'!B5</f>
        <v/>
      </c>
      <c r="E301" s="58">
        <f>IF(C301="","",IF(C301&gt;=D301,1,0))</f>
        <v/>
      </c>
      <c r="F301" s="59">
        <f>IF(C301="","",C301-D301)</f>
        <v/>
      </c>
      <c r="G301" s="44" t="inlineStr"/>
    </row>
    <row r="302" ht="22" customHeight="1">
      <c r="A302" s="39" t="n">
        <v>46321</v>
      </c>
      <c r="B302" s="40" t="inlineStr">
        <is>
          <t>Monday</t>
        </is>
      </c>
      <c r="C302" s="40" t="inlineStr"/>
      <c r="D302" s="54">
        <f>'Goals &amp; Settings'!B5</f>
        <v/>
      </c>
      <c r="E302" s="55">
        <f>IF(C302="","",IF(C302&gt;=D302,1,0))</f>
        <v/>
      </c>
      <c r="F302" s="56">
        <f>IF(C302="","",C302-D302)</f>
        <v/>
      </c>
      <c r="G302" s="40" t="inlineStr"/>
    </row>
    <row r="303" ht="22" customHeight="1">
      <c r="A303" s="43" t="n">
        <v>46322</v>
      </c>
      <c r="B303" s="44" t="inlineStr">
        <is>
          <t>Tuesday</t>
        </is>
      </c>
      <c r="C303" s="44" t="inlineStr"/>
      <c r="D303" s="57">
        <f>'Goals &amp; Settings'!B5</f>
        <v/>
      </c>
      <c r="E303" s="58">
        <f>IF(C303="","",IF(C303&gt;=D303,1,0))</f>
        <v/>
      </c>
      <c r="F303" s="59">
        <f>IF(C303="","",C303-D303)</f>
        <v/>
      </c>
      <c r="G303" s="44" t="inlineStr"/>
    </row>
    <row r="304" ht="22" customHeight="1">
      <c r="A304" s="39" t="n">
        <v>46323</v>
      </c>
      <c r="B304" s="40" t="inlineStr">
        <is>
          <t>Wednesday</t>
        </is>
      </c>
      <c r="C304" s="40" t="inlineStr"/>
      <c r="D304" s="54">
        <f>'Goals &amp; Settings'!B5</f>
        <v/>
      </c>
      <c r="E304" s="55">
        <f>IF(C304="","",IF(C304&gt;=D304,1,0))</f>
        <v/>
      </c>
      <c r="F304" s="56">
        <f>IF(C304="","",C304-D304)</f>
        <v/>
      </c>
      <c r="G304" s="40" t="inlineStr"/>
    </row>
    <row r="305" ht="22" customHeight="1">
      <c r="A305" s="43" t="n">
        <v>46324</v>
      </c>
      <c r="B305" s="44" t="inlineStr">
        <is>
          <t>Thursday</t>
        </is>
      </c>
      <c r="C305" s="44" t="inlineStr"/>
      <c r="D305" s="57">
        <f>'Goals &amp; Settings'!B5</f>
        <v/>
      </c>
      <c r="E305" s="58">
        <f>IF(C305="","",IF(C305&gt;=D305,1,0))</f>
        <v/>
      </c>
      <c r="F305" s="59">
        <f>IF(C305="","",C305-D305)</f>
        <v/>
      </c>
      <c r="G305" s="44" t="inlineStr"/>
    </row>
    <row r="306" ht="22" customHeight="1">
      <c r="A306" s="39" t="n">
        <v>46325</v>
      </c>
      <c r="B306" s="40" t="inlineStr">
        <is>
          <t>Friday</t>
        </is>
      </c>
      <c r="C306" s="40" t="inlineStr"/>
      <c r="D306" s="54">
        <f>'Goals &amp; Settings'!B5</f>
        <v/>
      </c>
      <c r="E306" s="55">
        <f>IF(C306="","",IF(C306&gt;=D306,1,0))</f>
        <v/>
      </c>
      <c r="F306" s="56">
        <f>IF(C306="","",C306-D306)</f>
        <v/>
      </c>
      <c r="G306" s="40" t="inlineStr"/>
    </row>
    <row r="307" ht="22" customHeight="1">
      <c r="A307" s="43" t="n">
        <v>46326</v>
      </c>
      <c r="B307" s="44" t="inlineStr">
        <is>
          <t>Saturday</t>
        </is>
      </c>
      <c r="C307" s="44" t="inlineStr"/>
      <c r="D307" s="57">
        <f>'Goals &amp; Settings'!B5</f>
        <v/>
      </c>
      <c r="E307" s="58">
        <f>IF(C307="","",IF(C307&gt;=D307,1,0))</f>
        <v/>
      </c>
      <c r="F307" s="59">
        <f>IF(C307="","",C307-D307)</f>
        <v/>
      </c>
      <c r="G307" s="44" t="inlineStr"/>
    </row>
    <row r="308" ht="22" customHeight="1">
      <c r="A308" s="39" t="n">
        <v>46327</v>
      </c>
      <c r="B308" s="40" t="inlineStr">
        <is>
          <t>Sunday</t>
        </is>
      </c>
      <c r="C308" s="40" t="inlineStr"/>
      <c r="D308" s="54">
        <f>'Goals &amp; Settings'!B5</f>
        <v/>
      </c>
      <c r="E308" s="55">
        <f>IF(C308="","",IF(C308&gt;=D308,1,0))</f>
        <v/>
      </c>
      <c r="F308" s="56">
        <f>IF(C308="","",C308-D308)</f>
        <v/>
      </c>
      <c r="G308" s="40" t="inlineStr"/>
    </row>
    <row r="309" ht="22" customHeight="1">
      <c r="A309" s="43" t="n">
        <v>46328</v>
      </c>
      <c r="B309" s="44" t="inlineStr">
        <is>
          <t>Monday</t>
        </is>
      </c>
      <c r="C309" s="44" t="inlineStr"/>
      <c r="D309" s="57">
        <f>'Goals &amp; Settings'!B5</f>
        <v/>
      </c>
      <c r="E309" s="58">
        <f>IF(C309="","",IF(C309&gt;=D309,1,0))</f>
        <v/>
      </c>
      <c r="F309" s="59">
        <f>IF(C309="","",C309-D309)</f>
        <v/>
      </c>
      <c r="G309" s="44" t="inlineStr"/>
    </row>
    <row r="310" ht="22" customHeight="1">
      <c r="A310" s="39" t="n">
        <v>46329</v>
      </c>
      <c r="B310" s="40" t="inlineStr">
        <is>
          <t>Tuesday</t>
        </is>
      </c>
      <c r="C310" s="40" t="inlineStr"/>
      <c r="D310" s="54">
        <f>'Goals &amp; Settings'!B5</f>
        <v/>
      </c>
      <c r="E310" s="55">
        <f>IF(C310="","",IF(C310&gt;=D310,1,0))</f>
        <v/>
      </c>
      <c r="F310" s="56">
        <f>IF(C310="","",C310-D310)</f>
        <v/>
      </c>
      <c r="G310" s="40" t="inlineStr"/>
    </row>
    <row r="311" ht="22" customHeight="1">
      <c r="A311" s="43" t="n">
        <v>46330</v>
      </c>
      <c r="B311" s="44" t="inlineStr">
        <is>
          <t>Wednesday</t>
        </is>
      </c>
      <c r="C311" s="44" t="inlineStr"/>
      <c r="D311" s="57">
        <f>'Goals &amp; Settings'!B5</f>
        <v/>
      </c>
      <c r="E311" s="58">
        <f>IF(C311="","",IF(C311&gt;=D311,1,0))</f>
        <v/>
      </c>
      <c r="F311" s="59">
        <f>IF(C311="","",C311-D311)</f>
        <v/>
      </c>
      <c r="G311" s="44" t="inlineStr"/>
    </row>
    <row r="312" ht="22" customHeight="1">
      <c r="A312" s="39" t="n">
        <v>46331</v>
      </c>
      <c r="B312" s="40" t="inlineStr">
        <is>
          <t>Thursday</t>
        </is>
      </c>
      <c r="C312" s="40" t="inlineStr"/>
      <c r="D312" s="54">
        <f>'Goals &amp; Settings'!B5</f>
        <v/>
      </c>
      <c r="E312" s="55">
        <f>IF(C312="","",IF(C312&gt;=D312,1,0))</f>
        <v/>
      </c>
      <c r="F312" s="56">
        <f>IF(C312="","",C312-D312)</f>
        <v/>
      </c>
      <c r="G312" s="40" t="inlineStr"/>
    </row>
    <row r="313" ht="22" customHeight="1">
      <c r="A313" s="43" t="n">
        <v>46332</v>
      </c>
      <c r="B313" s="44" t="inlineStr">
        <is>
          <t>Friday</t>
        </is>
      </c>
      <c r="C313" s="44" t="inlineStr"/>
      <c r="D313" s="57">
        <f>'Goals &amp; Settings'!B5</f>
        <v/>
      </c>
      <c r="E313" s="58">
        <f>IF(C313="","",IF(C313&gt;=D313,1,0))</f>
        <v/>
      </c>
      <c r="F313" s="59">
        <f>IF(C313="","",C313-D313)</f>
        <v/>
      </c>
      <c r="G313" s="44" t="inlineStr"/>
    </row>
    <row r="314" ht="22" customHeight="1">
      <c r="A314" s="39" t="n">
        <v>46333</v>
      </c>
      <c r="B314" s="40" t="inlineStr">
        <is>
          <t>Saturday</t>
        </is>
      </c>
      <c r="C314" s="40" t="inlineStr"/>
      <c r="D314" s="54">
        <f>'Goals &amp; Settings'!B5</f>
        <v/>
      </c>
      <c r="E314" s="55">
        <f>IF(C314="","",IF(C314&gt;=D314,1,0))</f>
        <v/>
      </c>
      <c r="F314" s="56">
        <f>IF(C314="","",C314-D314)</f>
        <v/>
      </c>
      <c r="G314" s="40" t="inlineStr"/>
    </row>
    <row r="315" ht="22" customHeight="1">
      <c r="A315" s="43" t="n">
        <v>46334</v>
      </c>
      <c r="B315" s="44" t="inlineStr">
        <is>
          <t>Sunday</t>
        </is>
      </c>
      <c r="C315" s="44" t="inlineStr"/>
      <c r="D315" s="57">
        <f>'Goals &amp; Settings'!B5</f>
        <v/>
      </c>
      <c r="E315" s="58">
        <f>IF(C315="","",IF(C315&gt;=D315,1,0))</f>
        <v/>
      </c>
      <c r="F315" s="59">
        <f>IF(C315="","",C315-D315)</f>
        <v/>
      </c>
      <c r="G315" s="44" t="inlineStr"/>
    </row>
    <row r="316" ht="22" customHeight="1">
      <c r="A316" s="39" t="n">
        <v>46335</v>
      </c>
      <c r="B316" s="40" t="inlineStr">
        <is>
          <t>Monday</t>
        </is>
      </c>
      <c r="C316" s="40" t="inlineStr"/>
      <c r="D316" s="54">
        <f>'Goals &amp; Settings'!B5</f>
        <v/>
      </c>
      <c r="E316" s="55">
        <f>IF(C316="","",IF(C316&gt;=D316,1,0))</f>
        <v/>
      </c>
      <c r="F316" s="56">
        <f>IF(C316="","",C316-D316)</f>
        <v/>
      </c>
      <c r="G316" s="40" t="inlineStr"/>
    </row>
    <row r="317" ht="22" customHeight="1">
      <c r="A317" s="43" t="n">
        <v>46336</v>
      </c>
      <c r="B317" s="44" t="inlineStr">
        <is>
          <t>Tuesday</t>
        </is>
      </c>
      <c r="C317" s="44" t="inlineStr"/>
      <c r="D317" s="57">
        <f>'Goals &amp; Settings'!B5</f>
        <v/>
      </c>
      <c r="E317" s="58">
        <f>IF(C317="","",IF(C317&gt;=D317,1,0))</f>
        <v/>
      </c>
      <c r="F317" s="59">
        <f>IF(C317="","",C317-D317)</f>
        <v/>
      </c>
      <c r="G317" s="44" t="inlineStr"/>
    </row>
    <row r="318" ht="22" customHeight="1">
      <c r="A318" s="39" t="n">
        <v>46337</v>
      </c>
      <c r="B318" s="40" t="inlineStr">
        <is>
          <t>Wednesday</t>
        </is>
      </c>
      <c r="C318" s="40" t="inlineStr"/>
      <c r="D318" s="54">
        <f>'Goals &amp; Settings'!B5</f>
        <v/>
      </c>
      <c r="E318" s="55">
        <f>IF(C318="","",IF(C318&gt;=D318,1,0))</f>
        <v/>
      </c>
      <c r="F318" s="56">
        <f>IF(C318="","",C318-D318)</f>
        <v/>
      </c>
      <c r="G318" s="40" t="inlineStr"/>
    </row>
    <row r="319" ht="22" customHeight="1">
      <c r="A319" s="43" t="n">
        <v>46338</v>
      </c>
      <c r="B319" s="44" t="inlineStr">
        <is>
          <t>Thursday</t>
        </is>
      </c>
      <c r="C319" s="44" t="inlineStr"/>
      <c r="D319" s="57">
        <f>'Goals &amp; Settings'!B5</f>
        <v/>
      </c>
      <c r="E319" s="58">
        <f>IF(C319="","",IF(C319&gt;=D319,1,0))</f>
        <v/>
      </c>
      <c r="F319" s="59">
        <f>IF(C319="","",C319-D319)</f>
        <v/>
      </c>
      <c r="G319" s="44" t="inlineStr"/>
    </row>
    <row r="320" ht="22" customHeight="1">
      <c r="A320" s="39" t="n">
        <v>46339</v>
      </c>
      <c r="B320" s="40" t="inlineStr">
        <is>
          <t>Friday</t>
        </is>
      </c>
      <c r="C320" s="40" t="inlineStr"/>
      <c r="D320" s="54">
        <f>'Goals &amp; Settings'!B5</f>
        <v/>
      </c>
      <c r="E320" s="55">
        <f>IF(C320="","",IF(C320&gt;=D320,1,0))</f>
        <v/>
      </c>
      <c r="F320" s="56">
        <f>IF(C320="","",C320-D320)</f>
        <v/>
      </c>
      <c r="G320" s="40" t="inlineStr"/>
    </row>
    <row r="321" ht="22" customHeight="1">
      <c r="A321" s="43" t="n">
        <v>46340</v>
      </c>
      <c r="B321" s="44" t="inlineStr">
        <is>
          <t>Saturday</t>
        </is>
      </c>
      <c r="C321" s="44" t="inlineStr"/>
      <c r="D321" s="57">
        <f>'Goals &amp; Settings'!B5</f>
        <v/>
      </c>
      <c r="E321" s="58">
        <f>IF(C321="","",IF(C321&gt;=D321,1,0))</f>
        <v/>
      </c>
      <c r="F321" s="59">
        <f>IF(C321="","",C321-D321)</f>
        <v/>
      </c>
      <c r="G321" s="44" t="inlineStr"/>
    </row>
    <row r="322" ht="22" customHeight="1">
      <c r="A322" s="39" t="n">
        <v>46341</v>
      </c>
      <c r="B322" s="40" t="inlineStr">
        <is>
          <t>Sunday</t>
        </is>
      </c>
      <c r="C322" s="40" t="inlineStr"/>
      <c r="D322" s="54">
        <f>'Goals &amp; Settings'!B5</f>
        <v/>
      </c>
      <c r="E322" s="55">
        <f>IF(C322="","",IF(C322&gt;=D322,1,0))</f>
        <v/>
      </c>
      <c r="F322" s="56">
        <f>IF(C322="","",C322-D322)</f>
        <v/>
      </c>
      <c r="G322" s="40" t="inlineStr"/>
    </row>
    <row r="323" ht="22" customHeight="1">
      <c r="A323" s="43" t="n">
        <v>46342</v>
      </c>
      <c r="B323" s="44" t="inlineStr">
        <is>
          <t>Monday</t>
        </is>
      </c>
      <c r="C323" s="44" t="inlineStr"/>
      <c r="D323" s="57">
        <f>'Goals &amp; Settings'!B5</f>
        <v/>
      </c>
      <c r="E323" s="58">
        <f>IF(C323="","",IF(C323&gt;=D323,1,0))</f>
        <v/>
      </c>
      <c r="F323" s="59">
        <f>IF(C323="","",C323-D323)</f>
        <v/>
      </c>
      <c r="G323" s="44" t="inlineStr"/>
    </row>
    <row r="324" ht="22" customHeight="1">
      <c r="A324" s="39" t="n">
        <v>46343</v>
      </c>
      <c r="B324" s="40" t="inlineStr">
        <is>
          <t>Tuesday</t>
        </is>
      </c>
      <c r="C324" s="40" t="inlineStr"/>
      <c r="D324" s="54">
        <f>'Goals &amp; Settings'!B5</f>
        <v/>
      </c>
      <c r="E324" s="55">
        <f>IF(C324="","",IF(C324&gt;=D324,1,0))</f>
        <v/>
      </c>
      <c r="F324" s="56">
        <f>IF(C324="","",C324-D324)</f>
        <v/>
      </c>
      <c r="G324" s="40" t="inlineStr"/>
    </row>
    <row r="325" ht="22" customHeight="1">
      <c r="A325" s="43" t="n">
        <v>46344</v>
      </c>
      <c r="B325" s="44" t="inlineStr">
        <is>
          <t>Wednesday</t>
        </is>
      </c>
      <c r="C325" s="44" t="inlineStr"/>
      <c r="D325" s="57">
        <f>'Goals &amp; Settings'!B5</f>
        <v/>
      </c>
      <c r="E325" s="58">
        <f>IF(C325="","",IF(C325&gt;=D325,1,0))</f>
        <v/>
      </c>
      <c r="F325" s="59">
        <f>IF(C325="","",C325-D325)</f>
        <v/>
      </c>
      <c r="G325" s="44" t="inlineStr"/>
    </row>
    <row r="326" ht="22" customHeight="1">
      <c r="A326" s="39" t="n">
        <v>46345</v>
      </c>
      <c r="B326" s="40" t="inlineStr">
        <is>
          <t>Thursday</t>
        </is>
      </c>
      <c r="C326" s="40" t="inlineStr"/>
      <c r="D326" s="54">
        <f>'Goals &amp; Settings'!B5</f>
        <v/>
      </c>
      <c r="E326" s="55">
        <f>IF(C326="","",IF(C326&gt;=D326,1,0))</f>
        <v/>
      </c>
      <c r="F326" s="56">
        <f>IF(C326="","",C326-D326)</f>
        <v/>
      </c>
      <c r="G326" s="40" t="inlineStr"/>
    </row>
    <row r="327" ht="22" customHeight="1">
      <c r="A327" s="43" t="n">
        <v>46346</v>
      </c>
      <c r="B327" s="44" t="inlineStr">
        <is>
          <t>Friday</t>
        </is>
      </c>
      <c r="C327" s="44" t="inlineStr"/>
      <c r="D327" s="57">
        <f>'Goals &amp; Settings'!B5</f>
        <v/>
      </c>
      <c r="E327" s="58">
        <f>IF(C327="","",IF(C327&gt;=D327,1,0))</f>
        <v/>
      </c>
      <c r="F327" s="59">
        <f>IF(C327="","",C327-D327)</f>
        <v/>
      </c>
      <c r="G327" s="44" t="inlineStr"/>
    </row>
    <row r="328" ht="22" customHeight="1">
      <c r="A328" s="39" t="n">
        <v>46347</v>
      </c>
      <c r="B328" s="40" t="inlineStr">
        <is>
          <t>Saturday</t>
        </is>
      </c>
      <c r="C328" s="40" t="inlineStr"/>
      <c r="D328" s="54">
        <f>'Goals &amp; Settings'!B5</f>
        <v/>
      </c>
      <c r="E328" s="55">
        <f>IF(C328="","",IF(C328&gt;=D328,1,0))</f>
        <v/>
      </c>
      <c r="F328" s="56">
        <f>IF(C328="","",C328-D328)</f>
        <v/>
      </c>
      <c r="G328" s="40" t="inlineStr"/>
    </row>
    <row r="329" ht="22" customHeight="1">
      <c r="A329" s="43" t="n">
        <v>46348</v>
      </c>
      <c r="B329" s="44" t="inlineStr">
        <is>
          <t>Sunday</t>
        </is>
      </c>
      <c r="C329" s="44" t="inlineStr"/>
      <c r="D329" s="57">
        <f>'Goals &amp; Settings'!B5</f>
        <v/>
      </c>
      <c r="E329" s="58">
        <f>IF(C329="","",IF(C329&gt;=D329,1,0))</f>
        <v/>
      </c>
      <c r="F329" s="59">
        <f>IF(C329="","",C329-D329)</f>
        <v/>
      </c>
      <c r="G329" s="44" t="inlineStr"/>
    </row>
    <row r="330" ht="22" customHeight="1">
      <c r="A330" s="39" t="n">
        <v>46349</v>
      </c>
      <c r="B330" s="40" t="inlineStr">
        <is>
          <t>Monday</t>
        </is>
      </c>
      <c r="C330" s="40" t="inlineStr"/>
      <c r="D330" s="54">
        <f>'Goals &amp; Settings'!B5</f>
        <v/>
      </c>
      <c r="E330" s="55">
        <f>IF(C330="","",IF(C330&gt;=D330,1,0))</f>
        <v/>
      </c>
      <c r="F330" s="56">
        <f>IF(C330="","",C330-D330)</f>
        <v/>
      </c>
      <c r="G330" s="40" t="inlineStr"/>
    </row>
    <row r="331" ht="22" customHeight="1">
      <c r="A331" s="43" t="n">
        <v>46350</v>
      </c>
      <c r="B331" s="44" t="inlineStr">
        <is>
          <t>Tuesday</t>
        </is>
      </c>
      <c r="C331" s="44" t="inlineStr"/>
      <c r="D331" s="57">
        <f>'Goals &amp; Settings'!B5</f>
        <v/>
      </c>
      <c r="E331" s="58">
        <f>IF(C331="","",IF(C331&gt;=D331,1,0))</f>
        <v/>
      </c>
      <c r="F331" s="59">
        <f>IF(C331="","",C331-D331)</f>
        <v/>
      </c>
      <c r="G331" s="44" t="inlineStr"/>
    </row>
    <row r="332" ht="22" customHeight="1">
      <c r="A332" s="39" t="n">
        <v>46351</v>
      </c>
      <c r="B332" s="40" t="inlineStr">
        <is>
          <t>Wednesday</t>
        </is>
      </c>
      <c r="C332" s="40" t="inlineStr"/>
      <c r="D332" s="54">
        <f>'Goals &amp; Settings'!B5</f>
        <v/>
      </c>
      <c r="E332" s="55">
        <f>IF(C332="","",IF(C332&gt;=D332,1,0))</f>
        <v/>
      </c>
      <c r="F332" s="56">
        <f>IF(C332="","",C332-D332)</f>
        <v/>
      </c>
      <c r="G332" s="40" t="inlineStr"/>
    </row>
    <row r="333" ht="22" customHeight="1">
      <c r="A333" s="43" t="n">
        <v>46352</v>
      </c>
      <c r="B333" s="44" t="inlineStr">
        <is>
          <t>Thursday</t>
        </is>
      </c>
      <c r="C333" s="44" t="inlineStr"/>
      <c r="D333" s="57">
        <f>'Goals &amp; Settings'!B5</f>
        <v/>
      </c>
      <c r="E333" s="58">
        <f>IF(C333="","",IF(C333&gt;=D333,1,0))</f>
        <v/>
      </c>
      <c r="F333" s="59">
        <f>IF(C333="","",C333-D333)</f>
        <v/>
      </c>
      <c r="G333" s="44" t="inlineStr"/>
    </row>
    <row r="334" ht="22" customHeight="1">
      <c r="A334" s="39" t="n">
        <v>46353</v>
      </c>
      <c r="B334" s="40" t="inlineStr">
        <is>
          <t>Friday</t>
        </is>
      </c>
      <c r="C334" s="40" t="inlineStr"/>
      <c r="D334" s="54">
        <f>'Goals &amp; Settings'!B5</f>
        <v/>
      </c>
      <c r="E334" s="55">
        <f>IF(C334="","",IF(C334&gt;=D334,1,0))</f>
        <v/>
      </c>
      <c r="F334" s="56">
        <f>IF(C334="","",C334-D334)</f>
        <v/>
      </c>
      <c r="G334" s="40" t="inlineStr"/>
    </row>
    <row r="335" ht="22" customHeight="1">
      <c r="A335" s="43" t="n">
        <v>46354</v>
      </c>
      <c r="B335" s="44" t="inlineStr">
        <is>
          <t>Saturday</t>
        </is>
      </c>
      <c r="C335" s="44" t="inlineStr"/>
      <c r="D335" s="57">
        <f>'Goals &amp; Settings'!B5</f>
        <v/>
      </c>
      <c r="E335" s="58">
        <f>IF(C335="","",IF(C335&gt;=D335,1,0))</f>
        <v/>
      </c>
      <c r="F335" s="59">
        <f>IF(C335="","",C335-D335)</f>
        <v/>
      </c>
      <c r="G335" s="44" t="inlineStr"/>
    </row>
    <row r="336" ht="22" customHeight="1">
      <c r="A336" s="39" t="n">
        <v>46355</v>
      </c>
      <c r="B336" s="40" t="inlineStr">
        <is>
          <t>Sunday</t>
        </is>
      </c>
      <c r="C336" s="40" t="inlineStr"/>
      <c r="D336" s="54">
        <f>'Goals &amp; Settings'!B5</f>
        <v/>
      </c>
      <c r="E336" s="55">
        <f>IF(C336="","",IF(C336&gt;=D336,1,0))</f>
        <v/>
      </c>
      <c r="F336" s="56">
        <f>IF(C336="","",C336-D336)</f>
        <v/>
      </c>
      <c r="G336" s="40" t="inlineStr"/>
    </row>
    <row r="337" ht="22" customHeight="1">
      <c r="A337" s="43" t="n">
        <v>46356</v>
      </c>
      <c r="B337" s="44" t="inlineStr">
        <is>
          <t>Monday</t>
        </is>
      </c>
      <c r="C337" s="44" t="inlineStr"/>
      <c r="D337" s="57">
        <f>'Goals &amp; Settings'!B5</f>
        <v/>
      </c>
      <c r="E337" s="58">
        <f>IF(C337="","",IF(C337&gt;=D337,1,0))</f>
        <v/>
      </c>
      <c r="F337" s="59">
        <f>IF(C337="","",C337-D337)</f>
        <v/>
      </c>
      <c r="G337" s="44" t="inlineStr"/>
    </row>
    <row r="338" ht="22" customHeight="1">
      <c r="A338" s="39" t="n">
        <v>46357</v>
      </c>
      <c r="B338" s="40" t="inlineStr">
        <is>
          <t>Tuesday</t>
        </is>
      </c>
      <c r="C338" s="40" t="inlineStr"/>
      <c r="D338" s="54">
        <f>'Goals &amp; Settings'!B5</f>
        <v/>
      </c>
      <c r="E338" s="55">
        <f>IF(C338="","",IF(C338&gt;=D338,1,0))</f>
        <v/>
      </c>
      <c r="F338" s="56">
        <f>IF(C338="","",C338-D338)</f>
        <v/>
      </c>
      <c r="G338" s="40" t="inlineStr"/>
    </row>
    <row r="339" ht="22" customHeight="1">
      <c r="A339" s="43" t="n">
        <v>46358</v>
      </c>
      <c r="B339" s="44" t="inlineStr">
        <is>
          <t>Wednesday</t>
        </is>
      </c>
      <c r="C339" s="44" t="inlineStr"/>
      <c r="D339" s="57">
        <f>'Goals &amp; Settings'!B5</f>
        <v/>
      </c>
      <c r="E339" s="58">
        <f>IF(C339="","",IF(C339&gt;=D339,1,0))</f>
        <v/>
      </c>
      <c r="F339" s="59">
        <f>IF(C339="","",C339-D339)</f>
        <v/>
      </c>
      <c r="G339" s="44" t="inlineStr"/>
    </row>
    <row r="340" ht="22" customHeight="1">
      <c r="A340" s="39" t="n">
        <v>46359</v>
      </c>
      <c r="B340" s="40" t="inlineStr">
        <is>
          <t>Thursday</t>
        </is>
      </c>
      <c r="C340" s="40" t="inlineStr"/>
      <c r="D340" s="54">
        <f>'Goals &amp; Settings'!B5</f>
        <v/>
      </c>
      <c r="E340" s="55">
        <f>IF(C340="","",IF(C340&gt;=D340,1,0))</f>
        <v/>
      </c>
      <c r="F340" s="56">
        <f>IF(C340="","",C340-D340)</f>
        <v/>
      </c>
      <c r="G340" s="40" t="inlineStr"/>
    </row>
    <row r="341" ht="22" customHeight="1">
      <c r="A341" s="43" t="n">
        <v>46360</v>
      </c>
      <c r="B341" s="44" t="inlineStr">
        <is>
          <t>Friday</t>
        </is>
      </c>
      <c r="C341" s="44" t="inlineStr"/>
      <c r="D341" s="57">
        <f>'Goals &amp; Settings'!B5</f>
        <v/>
      </c>
      <c r="E341" s="58">
        <f>IF(C341="","",IF(C341&gt;=D341,1,0))</f>
        <v/>
      </c>
      <c r="F341" s="59">
        <f>IF(C341="","",C341-D341)</f>
        <v/>
      </c>
      <c r="G341" s="44" t="inlineStr"/>
    </row>
    <row r="342" ht="22" customHeight="1">
      <c r="A342" s="39" t="n">
        <v>46361</v>
      </c>
      <c r="B342" s="40" t="inlineStr">
        <is>
          <t>Saturday</t>
        </is>
      </c>
      <c r="C342" s="40" t="inlineStr"/>
      <c r="D342" s="54">
        <f>'Goals &amp; Settings'!B5</f>
        <v/>
      </c>
      <c r="E342" s="55">
        <f>IF(C342="","",IF(C342&gt;=D342,1,0))</f>
        <v/>
      </c>
      <c r="F342" s="56">
        <f>IF(C342="","",C342-D342)</f>
        <v/>
      </c>
      <c r="G342" s="40" t="inlineStr"/>
    </row>
    <row r="343" ht="22" customHeight="1">
      <c r="A343" s="43" t="n">
        <v>46362</v>
      </c>
      <c r="B343" s="44" t="inlineStr">
        <is>
          <t>Sunday</t>
        </is>
      </c>
      <c r="C343" s="44" t="inlineStr"/>
      <c r="D343" s="57">
        <f>'Goals &amp; Settings'!B5</f>
        <v/>
      </c>
      <c r="E343" s="58">
        <f>IF(C343="","",IF(C343&gt;=D343,1,0))</f>
        <v/>
      </c>
      <c r="F343" s="59">
        <f>IF(C343="","",C343-D343)</f>
        <v/>
      </c>
      <c r="G343" s="44" t="inlineStr"/>
    </row>
    <row r="344" ht="22" customHeight="1">
      <c r="A344" s="39" t="n">
        <v>46363</v>
      </c>
      <c r="B344" s="40" t="inlineStr">
        <is>
          <t>Monday</t>
        </is>
      </c>
      <c r="C344" s="40" t="inlineStr"/>
      <c r="D344" s="54">
        <f>'Goals &amp; Settings'!B5</f>
        <v/>
      </c>
      <c r="E344" s="55">
        <f>IF(C344="","",IF(C344&gt;=D344,1,0))</f>
        <v/>
      </c>
      <c r="F344" s="56">
        <f>IF(C344="","",C344-D344)</f>
        <v/>
      </c>
      <c r="G344" s="40" t="inlineStr"/>
    </row>
    <row r="345" ht="22" customHeight="1">
      <c r="A345" s="43" t="n">
        <v>46364</v>
      </c>
      <c r="B345" s="44" t="inlineStr">
        <is>
          <t>Tuesday</t>
        </is>
      </c>
      <c r="C345" s="44" t="inlineStr"/>
      <c r="D345" s="57">
        <f>'Goals &amp; Settings'!B5</f>
        <v/>
      </c>
      <c r="E345" s="58">
        <f>IF(C345="","",IF(C345&gt;=D345,1,0))</f>
        <v/>
      </c>
      <c r="F345" s="59">
        <f>IF(C345="","",C345-D345)</f>
        <v/>
      </c>
      <c r="G345" s="44" t="inlineStr"/>
    </row>
    <row r="346" ht="22" customHeight="1">
      <c r="A346" s="39" t="n">
        <v>46365</v>
      </c>
      <c r="B346" s="40" t="inlineStr">
        <is>
          <t>Wednesday</t>
        </is>
      </c>
      <c r="C346" s="40" t="inlineStr"/>
      <c r="D346" s="54">
        <f>'Goals &amp; Settings'!B5</f>
        <v/>
      </c>
      <c r="E346" s="55">
        <f>IF(C346="","",IF(C346&gt;=D346,1,0))</f>
        <v/>
      </c>
      <c r="F346" s="56">
        <f>IF(C346="","",C346-D346)</f>
        <v/>
      </c>
      <c r="G346" s="40" t="inlineStr"/>
    </row>
    <row r="347" ht="22" customHeight="1">
      <c r="A347" s="43" t="n">
        <v>46366</v>
      </c>
      <c r="B347" s="44" t="inlineStr">
        <is>
          <t>Thursday</t>
        </is>
      </c>
      <c r="C347" s="44" t="inlineStr"/>
      <c r="D347" s="57">
        <f>'Goals &amp; Settings'!B5</f>
        <v/>
      </c>
      <c r="E347" s="58">
        <f>IF(C347="","",IF(C347&gt;=D347,1,0))</f>
        <v/>
      </c>
      <c r="F347" s="59">
        <f>IF(C347="","",C347-D347)</f>
        <v/>
      </c>
      <c r="G347" s="44" t="inlineStr"/>
    </row>
    <row r="348" ht="22" customHeight="1">
      <c r="A348" s="39" t="n">
        <v>46367</v>
      </c>
      <c r="B348" s="40" t="inlineStr">
        <is>
          <t>Friday</t>
        </is>
      </c>
      <c r="C348" s="40" t="inlineStr"/>
      <c r="D348" s="54">
        <f>'Goals &amp; Settings'!B5</f>
        <v/>
      </c>
      <c r="E348" s="55">
        <f>IF(C348="","",IF(C348&gt;=D348,1,0))</f>
        <v/>
      </c>
      <c r="F348" s="56">
        <f>IF(C348="","",C348-D348)</f>
        <v/>
      </c>
      <c r="G348" s="40" t="inlineStr"/>
    </row>
    <row r="349" ht="22" customHeight="1">
      <c r="A349" s="43" t="n">
        <v>46368</v>
      </c>
      <c r="B349" s="44" t="inlineStr">
        <is>
          <t>Saturday</t>
        </is>
      </c>
      <c r="C349" s="44" t="inlineStr"/>
      <c r="D349" s="57">
        <f>'Goals &amp; Settings'!B5</f>
        <v/>
      </c>
      <c r="E349" s="58">
        <f>IF(C349="","",IF(C349&gt;=D349,1,0))</f>
        <v/>
      </c>
      <c r="F349" s="59">
        <f>IF(C349="","",C349-D349)</f>
        <v/>
      </c>
      <c r="G349" s="44" t="inlineStr"/>
    </row>
    <row r="350" ht="22" customHeight="1">
      <c r="A350" s="39" t="n">
        <v>46369</v>
      </c>
      <c r="B350" s="40" t="inlineStr">
        <is>
          <t>Sunday</t>
        </is>
      </c>
      <c r="C350" s="40" t="inlineStr"/>
      <c r="D350" s="54">
        <f>'Goals &amp; Settings'!B5</f>
        <v/>
      </c>
      <c r="E350" s="55">
        <f>IF(C350="","",IF(C350&gt;=D350,1,0))</f>
        <v/>
      </c>
      <c r="F350" s="56">
        <f>IF(C350="","",C350-D350)</f>
        <v/>
      </c>
      <c r="G350" s="40" t="inlineStr"/>
    </row>
    <row r="351" ht="22" customHeight="1">
      <c r="A351" s="43" t="n">
        <v>46370</v>
      </c>
      <c r="B351" s="44" t="inlineStr">
        <is>
          <t>Monday</t>
        </is>
      </c>
      <c r="C351" s="44" t="inlineStr"/>
      <c r="D351" s="57">
        <f>'Goals &amp; Settings'!B5</f>
        <v/>
      </c>
      <c r="E351" s="58">
        <f>IF(C351="","",IF(C351&gt;=D351,1,0))</f>
        <v/>
      </c>
      <c r="F351" s="59">
        <f>IF(C351="","",C351-D351)</f>
        <v/>
      </c>
      <c r="G351" s="44" t="inlineStr"/>
    </row>
    <row r="352" ht="22" customHeight="1">
      <c r="A352" s="39" t="n">
        <v>46371</v>
      </c>
      <c r="B352" s="40" t="inlineStr">
        <is>
          <t>Tuesday</t>
        </is>
      </c>
      <c r="C352" s="40" t="inlineStr"/>
      <c r="D352" s="54">
        <f>'Goals &amp; Settings'!B5</f>
        <v/>
      </c>
      <c r="E352" s="55">
        <f>IF(C352="","",IF(C352&gt;=D352,1,0))</f>
        <v/>
      </c>
      <c r="F352" s="56">
        <f>IF(C352="","",C352-D352)</f>
        <v/>
      </c>
      <c r="G352" s="40" t="inlineStr"/>
    </row>
    <row r="353" ht="22" customHeight="1">
      <c r="A353" s="43" t="n">
        <v>46372</v>
      </c>
      <c r="B353" s="44" t="inlineStr">
        <is>
          <t>Wednesday</t>
        </is>
      </c>
      <c r="C353" s="44" t="inlineStr"/>
      <c r="D353" s="57">
        <f>'Goals &amp; Settings'!B5</f>
        <v/>
      </c>
      <c r="E353" s="58">
        <f>IF(C353="","",IF(C353&gt;=D353,1,0))</f>
        <v/>
      </c>
      <c r="F353" s="59">
        <f>IF(C353="","",C353-D353)</f>
        <v/>
      </c>
      <c r="G353" s="44" t="inlineStr"/>
    </row>
    <row r="354" ht="22" customHeight="1">
      <c r="A354" s="39" t="n">
        <v>46373</v>
      </c>
      <c r="B354" s="40" t="inlineStr">
        <is>
          <t>Thursday</t>
        </is>
      </c>
      <c r="C354" s="40" t="inlineStr"/>
      <c r="D354" s="54">
        <f>'Goals &amp; Settings'!B5</f>
        <v/>
      </c>
      <c r="E354" s="55">
        <f>IF(C354="","",IF(C354&gt;=D354,1,0))</f>
        <v/>
      </c>
      <c r="F354" s="56">
        <f>IF(C354="","",C354-D354)</f>
        <v/>
      </c>
      <c r="G354" s="40" t="inlineStr"/>
    </row>
    <row r="355" ht="22" customHeight="1">
      <c r="A355" s="43" t="n">
        <v>46374</v>
      </c>
      <c r="B355" s="44" t="inlineStr">
        <is>
          <t>Friday</t>
        </is>
      </c>
      <c r="C355" s="44" t="inlineStr"/>
      <c r="D355" s="57">
        <f>'Goals &amp; Settings'!B5</f>
        <v/>
      </c>
      <c r="E355" s="58">
        <f>IF(C355="","",IF(C355&gt;=D355,1,0))</f>
        <v/>
      </c>
      <c r="F355" s="59">
        <f>IF(C355="","",C355-D355)</f>
        <v/>
      </c>
      <c r="G355" s="44" t="inlineStr"/>
    </row>
    <row r="356" ht="22" customHeight="1">
      <c r="A356" s="39" t="n">
        <v>46375</v>
      </c>
      <c r="B356" s="40" t="inlineStr">
        <is>
          <t>Saturday</t>
        </is>
      </c>
      <c r="C356" s="40" t="inlineStr"/>
      <c r="D356" s="54">
        <f>'Goals &amp; Settings'!B5</f>
        <v/>
      </c>
      <c r="E356" s="55">
        <f>IF(C356="","",IF(C356&gt;=D356,1,0))</f>
        <v/>
      </c>
      <c r="F356" s="56">
        <f>IF(C356="","",C356-D356)</f>
        <v/>
      </c>
      <c r="G356" s="40" t="inlineStr"/>
    </row>
    <row r="357" ht="22" customHeight="1">
      <c r="A357" s="43" t="n">
        <v>46376</v>
      </c>
      <c r="B357" s="44" t="inlineStr">
        <is>
          <t>Sunday</t>
        </is>
      </c>
      <c r="C357" s="44" t="inlineStr"/>
      <c r="D357" s="57">
        <f>'Goals &amp; Settings'!B5</f>
        <v/>
      </c>
      <c r="E357" s="58">
        <f>IF(C357="","",IF(C357&gt;=D357,1,0))</f>
        <v/>
      </c>
      <c r="F357" s="59">
        <f>IF(C357="","",C357-D357)</f>
        <v/>
      </c>
      <c r="G357" s="44" t="inlineStr"/>
    </row>
    <row r="358" ht="22" customHeight="1">
      <c r="A358" s="39" t="n">
        <v>46377</v>
      </c>
      <c r="B358" s="40" t="inlineStr">
        <is>
          <t>Monday</t>
        </is>
      </c>
      <c r="C358" s="40" t="inlineStr"/>
      <c r="D358" s="54">
        <f>'Goals &amp; Settings'!B5</f>
        <v/>
      </c>
      <c r="E358" s="55">
        <f>IF(C358="","",IF(C358&gt;=D358,1,0))</f>
        <v/>
      </c>
      <c r="F358" s="56">
        <f>IF(C358="","",C358-D358)</f>
        <v/>
      </c>
      <c r="G358" s="40" t="inlineStr"/>
    </row>
    <row r="359" ht="22" customHeight="1">
      <c r="A359" s="43" t="n">
        <v>46378</v>
      </c>
      <c r="B359" s="44" t="inlineStr">
        <is>
          <t>Tuesday</t>
        </is>
      </c>
      <c r="C359" s="44" t="inlineStr"/>
      <c r="D359" s="57">
        <f>'Goals &amp; Settings'!B5</f>
        <v/>
      </c>
      <c r="E359" s="58">
        <f>IF(C359="","",IF(C359&gt;=D359,1,0))</f>
        <v/>
      </c>
      <c r="F359" s="59">
        <f>IF(C359="","",C359-D359)</f>
        <v/>
      </c>
      <c r="G359" s="44" t="inlineStr"/>
    </row>
    <row r="360" ht="22" customHeight="1">
      <c r="A360" s="39" t="n">
        <v>46379</v>
      </c>
      <c r="B360" s="40" t="inlineStr">
        <is>
          <t>Wednesday</t>
        </is>
      </c>
      <c r="C360" s="40" t="inlineStr"/>
      <c r="D360" s="54">
        <f>'Goals &amp; Settings'!B5</f>
        <v/>
      </c>
      <c r="E360" s="55">
        <f>IF(C360="","",IF(C360&gt;=D360,1,0))</f>
        <v/>
      </c>
      <c r="F360" s="56">
        <f>IF(C360="","",C360-D360)</f>
        <v/>
      </c>
      <c r="G360" s="40" t="inlineStr"/>
    </row>
    <row r="361" ht="22" customHeight="1">
      <c r="A361" s="43" t="n">
        <v>46380</v>
      </c>
      <c r="B361" s="44" t="inlineStr">
        <is>
          <t>Thursday</t>
        </is>
      </c>
      <c r="C361" s="44" t="inlineStr"/>
      <c r="D361" s="57">
        <f>'Goals &amp; Settings'!B5</f>
        <v/>
      </c>
      <c r="E361" s="58">
        <f>IF(C361="","",IF(C361&gt;=D361,1,0))</f>
        <v/>
      </c>
      <c r="F361" s="59">
        <f>IF(C361="","",C361-D361)</f>
        <v/>
      </c>
      <c r="G361" s="44" t="inlineStr"/>
    </row>
    <row r="362" ht="22" customHeight="1">
      <c r="A362" s="39" t="n">
        <v>46381</v>
      </c>
      <c r="B362" s="40" t="inlineStr">
        <is>
          <t>Friday</t>
        </is>
      </c>
      <c r="C362" s="40" t="inlineStr"/>
      <c r="D362" s="54">
        <f>'Goals &amp; Settings'!B5</f>
        <v/>
      </c>
      <c r="E362" s="55">
        <f>IF(C362="","",IF(C362&gt;=D362,1,0))</f>
        <v/>
      </c>
      <c r="F362" s="56">
        <f>IF(C362="","",C362-D362)</f>
        <v/>
      </c>
      <c r="G362" s="40" t="inlineStr"/>
    </row>
    <row r="363" ht="22" customHeight="1">
      <c r="A363" s="43" t="n">
        <v>46382</v>
      </c>
      <c r="B363" s="44" t="inlineStr">
        <is>
          <t>Saturday</t>
        </is>
      </c>
      <c r="C363" s="44" t="inlineStr"/>
      <c r="D363" s="57">
        <f>'Goals &amp; Settings'!B5</f>
        <v/>
      </c>
      <c r="E363" s="58">
        <f>IF(C363="","",IF(C363&gt;=D363,1,0))</f>
        <v/>
      </c>
      <c r="F363" s="59">
        <f>IF(C363="","",C363-D363)</f>
        <v/>
      </c>
      <c r="G363" s="44" t="inlineStr"/>
    </row>
    <row r="364" ht="22" customHeight="1">
      <c r="A364" s="39" t="n">
        <v>46383</v>
      </c>
      <c r="B364" s="40" t="inlineStr">
        <is>
          <t>Sunday</t>
        </is>
      </c>
      <c r="C364" s="40" t="inlineStr"/>
      <c r="D364" s="54">
        <f>'Goals &amp; Settings'!B5</f>
        <v/>
      </c>
      <c r="E364" s="55">
        <f>IF(C364="","",IF(C364&gt;=D364,1,0))</f>
        <v/>
      </c>
      <c r="F364" s="56">
        <f>IF(C364="","",C364-D364)</f>
        <v/>
      </c>
      <c r="G364" s="40" t="inlineStr"/>
    </row>
    <row r="365" ht="22" customHeight="1">
      <c r="A365" s="43" t="n">
        <v>46384</v>
      </c>
      <c r="B365" s="44" t="inlineStr">
        <is>
          <t>Monday</t>
        </is>
      </c>
      <c r="C365" s="44" t="inlineStr"/>
      <c r="D365" s="57">
        <f>'Goals &amp; Settings'!B5</f>
        <v/>
      </c>
      <c r="E365" s="58">
        <f>IF(C365="","",IF(C365&gt;=D365,1,0))</f>
        <v/>
      </c>
      <c r="F365" s="59">
        <f>IF(C365="","",C365-D365)</f>
        <v/>
      </c>
      <c r="G365" s="44" t="inlineStr"/>
    </row>
    <row r="366" ht="22" customHeight="1">
      <c r="A366" s="39" t="n">
        <v>46385</v>
      </c>
      <c r="B366" s="40" t="inlineStr">
        <is>
          <t>Tuesday</t>
        </is>
      </c>
      <c r="C366" s="40" t="inlineStr"/>
      <c r="D366" s="54">
        <f>'Goals &amp; Settings'!B5</f>
        <v/>
      </c>
      <c r="E366" s="55">
        <f>IF(C366="","",IF(C366&gt;=D366,1,0))</f>
        <v/>
      </c>
      <c r="F366" s="56">
        <f>IF(C366="","",C366-D366)</f>
        <v/>
      </c>
      <c r="G366" s="40" t="inlineStr"/>
    </row>
    <row r="367" ht="22" customHeight="1">
      <c r="A367" s="43" t="n">
        <v>46386</v>
      </c>
      <c r="B367" s="44" t="inlineStr">
        <is>
          <t>Wednesday</t>
        </is>
      </c>
      <c r="C367" s="44" t="inlineStr"/>
      <c r="D367" s="57">
        <f>'Goals &amp; Settings'!B5</f>
        <v/>
      </c>
      <c r="E367" s="58">
        <f>IF(C367="","",IF(C367&gt;=D367,1,0))</f>
        <v/>
      </c>
      <c r="F367" s="59">
        <f>IF(C367="","",C367-D367)</f>
        <v/>
      </c>
      <c r="G367" s="44" t="inlineStr"/>
    </row>
    <row r="368" ht="22" customHeight="1">
      <c r="A368" s="39" t="n">
        <v>46387</v>
      </c>
      <c r="B368" s="40" t="inlineStr">
        <is>
          <t>Thursday</t>
        </is>
      </c>
      <c r="C368" s="40" t="inlineStr"/>
      <c r="D368" s="54">
        <f>'Goals &amp; Settings'!B5</f>
        <v/>
      </c>
      <c r="E368" s="55">
        <f>IF(C368="","",IF(C368&gt;=D368,1,0))</f>
        <v/>
      </c>
      <c r="F368" s="56">
        <f>IF(C368="","",C368-D368)</f>
        <v/>
      </c>
      <c r="G368" s="40" t="inlineStr"/>
    </row>
  </sheetData>
  <autoFilter ref="A3:G368"/>
  <mergeCells count="2">
    <mergeCell ref="A2:G2"/>
    <mergeCell ref="A1:G1"/>
  </mergeCells>
  <conditionalFormatting sqref="E4:E368">
    <cfRule type="expression" priority="1" dxfId="0">
      <formula>E4=1</formula>
    </cfRule>
    <cfRule type="expression" priority="2" dxfId="5">
      <formula>AND(E4&lt;&gt;"",E4=0)</formula>
    </cfRule>
  </conditionalFormatting>
  <conditionalFormatting sqref="C4:C368">
    <cfRule type="expression" priority="3" dxfId="6">
      <formula>AND($A4&lt;TODAY(),C4="")</formula>
    </cfRule>
  </conditionalFormatting>
  <conditionalFormatting sqref="F4:F368">
    <cfRule type="cellIs" priority="4" operator="greaterThanOrEqual" dxfId="7">
      <formula>0</formula>
    </cfRule>
    <cfRule type="cellIs" priority="5" operator="lessThan" dxfId="8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D32"/>
    <outlinePr summaryBelow="1" summaryRight="1"/>
    <pageSetUpPr/>
  </sheetPr>
  <dimension ref="A1:I3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4" customWidth="1" min="4" max="4"/>
    <col width="15" customWidth="1" min="5" max="5"/>
    <col width="15" customWidth="1" min="6" max="6"/>
    <col width="12" customWidth="1" min="7" max="7"/>
    <col width="22" customWidth="1" min="8" max="8"/>
    <col width="22" customWidth="1" min="9" max="9"/>
  </cols>
  <sheetData>
    <row r="1" ht="32" customHeight="1">
      <c r="A1" s="60" t="inlineStr">
        <is>
          <t>🏃  RUNNING TRACKER 2026</t>
        </is>
      </c>
    </row>
    <row r="2" ht="24" customHeight="1">
      <c r="A2" s="61" t="inlineStr">
        <is>
          <t>Tap 'Ran Today' to check  •  Pace auto-calculates  •  Rest days stay neutral (orange reminder only)</t>
        </is>
      </c>
    </row>
    <row r="3" ht="28" customHeight="1">
      <c r="A3" s="17" t="inlineStr">
        <is>
          <t>Date</t>
        </is>
      </c>
      <c r="B3" s="17" t="inlineStr">
        <is>
          <t>Day</t>
        </is>
      </c>
      <c r="C3" s="17" t="inlineStr">
        <is>
          <t>Ran Today</t>
        </is>
      </c>
      <c r="D3" s="17" t="inlineStr">
        <is>
          <t>Distance (KM)</t>
        </is>
      </c>
      <c r="E3" s="17" t="inlineStr">
        <is>
          <t>Duration (min)</t>
        </is>
      </c>
      <c r="F3" s="17" t="inlineStr">
        <is>
          <t>Pace (min/km)</t>
        </is>
      </c>
      <c r="G3" s="17" t="inlineStr">
        <is>
          <t>Calories</t>
        </is>
      </c>
      <c r="H3" s="17" t="inlineStr">
        <is>
          <t>Route / Location</t>
        </is>
      </c>
      <c r="I3" s="17" t="inlineStr">
        <is>
          <t>Notes</t>
        </is>
      </c>
    </row>
    <row r="4" ht="22" customHeight="1">
      <c r="A4" s="39" t="n">
        <v>46023</v>
      </c>
      <c r="B4" s="40" t="inlineStr">
        <is>
          <t>Thursday</t>
        </is>
      </c>
      <c r="C4" s="41" t="n">
        <v>0</v>
      </c>
      <c r="D4" s="40" t="inlineStr"/>
      <c r="E4" s="40" t="inlineStr"/>
      <c r="F4" s="40">
        <f>IFERROR(IF(AND(D4&lt;&gt;"",E4&lt;&gt;""),E4/D4,""),"")</f>
        <v/>
      </c>
      <c r="G4" s="40" t="inlineStr"/>
      <c r="H4" s="40" t="inlineStr"/>
      <c r="I4" s="40" t="inlineStr"/>
    </row>
    <row r="5" ht="22" customHeight="1">
      <c r="A5" s="43" t="n">
        <v>46024</v>
      </c>
      <c r="B5" s="44" t="inlineStr">
        <is>
          <t>Friday</t>
        </is>
      </c>
      <c r="C5" s="41" t="n">
        <v>0</v>
      </c>
      <c r="D5" s="44" t="inlineStr"/>
      <c r="E5" s="44" t="inlineStr"/>
      <c r="F5" s="44">
        <f>IFERROR(IF(AND(D5&lt;&gt;"",E5&lt;&gt;""),E5/D5,""),"")</f>
        <v/>
      </c>
      <c r="G5" s="44" t="inlineStr"/>
      <c r="H5" s="44" t="inlineStr"/>
      <c r="I5" s="44" t="inlineStr"/>
    </row>
    <row r="6" ht="22" customHeight="1">
      <c r="A6" s="39" t="n">
        <v>46025</v>
      </c>
      <c r="B6" s="40" t="inlineStr">
        <is>
          <t>Saturday</t>
        </is>
      </c>
      <c r="C6" s="41" t="n">
        <v>0</v>
      </c>
      <c r="D6" s="40" t="inlineStr"/>
      <c r="E6" s="40" t="inlineStr"/>
      <c r="F6" s="40">
        <f>IFERROR(IF(AND(D6&lt;&gt;"",E6&lt;&gt;""),E6/D6,""),"")</f>
        <v/>
      </c>
      <c r="G6" s="40" t="inlineStr"/>
      <c r="H6" s="40" t="inlineStr"/>
      <c r="I6" s="40" t="inlineStr"/>
    </row>
    <row r="7" ht="22" customHeight="1">
      <c r="A7" s="43" t="n">
        <v>46026</v>
      </c>
      <c r="B7" s="44" t="inlineStr">
        <is>
          <t>Sunday</t>
        </is>
      </c>
      <c r="C7" s="41" t="n">
        <v>0</v>
      </c>
      <c r="D7" s="44" t="inlineStr"/>
      <c r="E7" s="44" t="inlineStr"/>
      <c r="F7" s="44">
        <f>IFERROR(IF(AND(D7&lt;&gt;"",E7&lt;&gt;""),E7/D7,""),"")</f>
        <v/>
      </c>
      <c r="G7" s="44" t="inlineStr"/>
      <c r="H7" s="44" t="inlineStr"/>
      <c r="I7" s="44" t="inlineStr"/>
    </row>
    <row r="8" ht="22" customHeight="1">
      <c r="A8" s="39" t="n">
        <v>46027</v>
      </c>
      <c r="B8" s="40" t="inlineStr">
        <is>
          <t>Monday</t>
        </is>
      </c>
      <c r="C8" s="41" t="n">
        <v>0</v>
      </c>
      <c r="D8" s="40" t="inlineStr"/>
      <c r="E8" s="40" t="inlineStr"/>
      <c r="F8" s="40">
        <f>IFERROR(IF(AND(D8&lt;&gt;"",E8&lt;&gt;""),E8/D8,""),"")</f>
        <v/>
      </c>
      <c r="G8" s="40" t="inlineStr"/>
      <c r="H8" s="40" t="inlineStr"/>
      <c r="I8" s="40" t="inlineStr"/>
    </row>
    <row r="9" ht="22" customHeight="1">
      <c r="A9" s="43" t="n">
        <v>46028</v>
      </c>
      <c r="B9" s="44" t="inlineStr">
        <is>
          <t>Tuesday</t>
        </is>
      </c>
      <c r="C9" s="41" t="n">
        <v>0</v>
      </c>
      <c r="D9" s="44" t="inlineStr"/>
      <c r="E9" s="44" t="inlineStr"/>
      <c r="F9" s="44">
        <f>IFERROR(IF(AND(D9&lt;&gt;"",E9&lt;&gt;""),E9/D9,""),"")</f>
        <v/>
      </c>
      <c r="G9" s="44" t="inlineStr"/>
      <c r="H9" s="44" t="inlineStr"/>
      <c r="I9" s="44" t="inlineStr"/>
    </row>
    <row r="10" ht="22" customHeight="1">
      <c r="A10" s="39" t="n">
        <v>46029</v>
      </c>
      <c r="B10" s="40" t="inlineStr">
        <is>
          <t>Wednesday</t>
        </is>
      </c>
      <c r="C10" s="41" t="n">
        <v>0</v>
      </c>
      <c r="D10" s="40" t="inlineStr"/>
      <c r="E10" s="40" t="inlineStr"/>
      <c r="F10" s="40">
        <f>IFERROR(IF(AND(D10&lt;&gt;"",E10&lt;&gt;""),E10/D10,""),"")</f>
        <v/>
      </c>
      <c r="G10" s="40" t="inlineStr"/>
      <c r="H10" s="40" t="inlineStr"/>
      <c r="I10" s="40" t="inlineStr"/>
    </row>
    <row r="11" ht="22" customHeight="1">
      <c r="A11" s="43" t="n">
        <v>46030</v>
      </c>
      <c r="B11" s="44" t="inlineStr">
        <is>
          <t>Thursday</t>
        </is>
      </c>
      <c r="C11" s="41" t="n">
        <v>0</v>
      </c>
      <c r="D11" s="44" t="inlineStr"/>
      <c r="E11" s="44" t="inlineStr"/>
      <c r="F11" s="44">
        <f>IFERROR(IF(AND(D11&lt;&gt;"",E11&lt;&gt;""),E11/D11,""),"")</f>
        <v/>
      </c>
      <c r="G11" s="44" t="inlineStr"/>
      <c r="H11" s="44" t="inlineStr"/>
      <c r="I11" s="44" t="inlineStr"/>
    </row>
    <row r="12" ht="22" customHeight="1">
      <c r="A12" s="39" t="n">
        <v>46031</v>
      </c>
      <c r="B12" s="40" t="inlineStr">
        <is>
          <t>Friday</t>
        </is>
      </c>
      <c r="C12" s="41" t="n">
        <v>0</v>
      </c>
      <c r="D12" s="40" t="inlineStr"/>
      <c r="E12" s="40" t="inlineStr"/>
      <c r="F12" s="40">
        <f>IFERROR(IF(AND(D12&lt;&gt;"",E12&lt;&gt;""),E12/D12,""),"")</f>
        <v/>
      </c>
      <c r="G12" s="40" t="inlineStr"/>
      <c r="H12" s="40" t="inlineStr"/>
      <c r="I12" s="40" t="inlineStr"/>
    </row>
    <row r="13" ht="22" customHeight="1">
      <c r="A13" s="43" t="n">
        <v>46032</v>
      </c>
      <c r="B13" s="44" t="inlineStr">
        <is>
          <t>Saturday</t>
        </is>
      </c>
      <c r="C13" s="41" t="n">
        <v>0</v>
      </c>
      <c r="D13" s="44" t="inlineStr"/>
      <c r="E13" s="44" t="inlineStr"/>
      <c r="F13" s="44">
        <f>IFERROR(IF(AND(D13&lt;&gt;"",E13&lt;&gt;""),E13/D13,""),"")</f>
        <v/>
      </c>
      <c r="G13" s="44" t="inlineStr"/>
      <c r="H13" s="44" t="inlineStr"/>
      <c r="I13" s="44" t="inlineStr"/>
    </row>
    <row r="14" ht="22" customHeight="1">
      <c r="A14" s="39" t="n">
        <v>46033</v>
      </c>
      <c r="B14" s="40" t="inlineStr">
        <is>
          <t>Sunday</t>
        </is>
      </c>
      <c r="C14" s="41" t="n">
        <v>0</v>
      </c>
      <c r="D14" s="40" t="inlineStr"/>
      <c r="E14" s="40" t="inlineStr"/>
      <c r="F14" s="40">
        <f>IFERROR(IF(AND(D14&lt;&gt;"",E14&lt;&gt;""),E14/D14,""),"")</f>
        <v/>
      </c>
      <c r="G14" s="40" t="inlineStr"/>
      <c r="H14" s="40" t="inlineStr"/>
      <c r="I14" s="40" t="inlineStr"/>
    </row>
    <row r="15" ht="22" customHeight="1">
      <c r="A15" s="43" t="n">
        <v>46034</v>
      </c>
      <c r="B15" s="44" t="inlineStr">
        <is>
          <t>Monday</t>
        </is>
      </c>
      <c r="C15" s="41" t="n">
        <v>0</v>
      </c>
      <c r="D15" s="44" t="inlineStr"/>
      <c r="E15" s="44" t="inlineStr"/>
      <c r="F15" s="44">
        <f>IFERROR(IF(AND(D15&lt;&gt;"",E15&lt;&gt;""),E15/D15,""),"")</f>
        <v/>
      </c>
      <c r="G15" s="44" t="inlineStr"/>
      <c r="H15" s="44" t="inlineStr"/>
      <c r="I15" s="44" t="inlineStr"/>
    </row>
    <row r="16" ht="22" customHeight="1">
      <c r="A16" s="39" t="n">
        <v>46035</v>
      </c>
      <c r="B16" s="40" t="inlineStr">
        <is>
          <t>Tuesday</t>
        </is>
      </c>
      <c r="C16" s="41" t="n">
        <v>0</v>
      </c>
      <c r="D16" s="40" t="inlineStr"/>
      <c r="E16" s="40" t="inlineStr"/>
      <c r="F16" s="40">
        <f>IFERROR(IF(AND(D16&lt;&gt;"",E16&lt;&gt;""),E16/D16,""),"")</f>
        <v/>
      </c>
      <c r="G16" s="40" t="inlineStr"/>
      <c r="H16" s="40" t="inlineStr"/>
      <c r="I16" s="40" t="inlineStr"/>
    </row>
    <row r="17" ht="22" customHeight="1">
      <c r="A17" s="43" t="n">
        <v>46036</v>
      </c>
      <c r="B17" s="44" t="inlineStr">
        <is>
          <t>Wednesday</t>
        </is>
      </c>
      <c r="C17" s="41" t="n">
        <v>0</v>
      </c>
      <c r="D17" s="44" t="inlineStr"/>
      <c r="E17" s="44" t="inlineStr"/>
      <c r="F17" s="44">
        <f>IFERROR(IF(AND(D17&lt;&gt;"",E17&lt;&gt;""),E17/D17,""),"")</f>
        <v/>
      </c>
      <c r="G17" s="44" t="inlineStr"/>
      <c r="H17" s="44" t="inlineStr"/>
      <c r="I17" s="44" t="inlineStr"/>
    </row>
    <row r="18" ht="22" customHeight="1">
      <c r="A18" s="39" t="n">
        <v>46037</v>
      </c>
      <c r="B18" s="40" t="inlineStr">
        <is>
          <t>Thursday</t>
        </is>
      </c>
      <c r="C18" s="41" t="n">
        <v>0</v>
      </c>
      <c r="D18" s="40" t="inlineStr"/>
      <c r="E18" s="40" t="inlineStr"/>
      <c r="F18" s="40">
        <f>IFERROR(IF(AND(D18&lt;&gt;"",E18&lt;&gt;""),E18/D18,""),"")</f>
        <v/>
      </c>
      <c r="G18" s="40" t="inlineStr"/>
      <c r="H18" s="40" t="inlineStr"/>
      <c r="I18" s="40" t="inlineStr"/>
    </row>
    <row r="19" ht="22" customHeight="1">
      <c r="A19" s="43" t="n">
        <v>46038</v>
      </c>
      <c r="B19" s="44" t="inlineStr">
        <is>
          <t>Friday</t>
        </is>
      </c>
      <c r="C19" s="41" t="n">
        <v>0</v>
      </c>
      <c r="D19" s="44" t="inlineStr"/>
      <c r="E19" s="44" t="inlineStr"/>
      <c r="F19" s="44">
        <f>IFERROR(IF(AND(D19&lt;&gt;"",E19&lt;&gt;""),E19/D19,""),"")</f>
        <v/>
      </c>
      <c r="G19" s="44" t="inlineStr"/>
      <c r="H19" s="44" t="inlineStr"/>
      <c r="I19" s="44" t="inlineStr"/>
    </row>
    <row r="20" ht="22" customHeight="1">
      <c r="A20" s="39" t="n">
        <v>46039</v>
      </c>
      <c r="B20" s="40" t="inlineStr">
        <is>
          <t>Saturday</t>
        </is>
      </c>
      <c r="C20" s="41" t="n">
        <v>0</v>
      </c>
      <c r="D20" s="40" t="inlineStr"/>
      <c r="E20" s="40" t="inlineStr"/>
      <c r="F20" s="40">
        <f>IFERROR(IF(AND(D20&lt;&gt;"",E20&lt;&gt;""),E20/D20,""),"")</f>
        <v/>
      </c>
      <c r="G20" s="40" t="inlineStr"/>
      <c r="H20" s="40" t="inlineStr"/>
      <c r="I20" s="40" t="inlineStr"/>
    </row>
    <row r="21" ht="22" customHeight="1">
      <c r="A21" s="43" t="n">
        <v>46040</v>
      </c>
      <c r="B21" s="44" t="inlineStr">
        <is>
          <t>Sunday</t>
        </is>
      </c>
      <c r="C21" s="41" t="n">
        <v>0</v>
      </c>
      <c r="D21" s="44" t="inlineStr"/>
      <c r="E21" s="44" t="inlineStr"/>
      <c r="F21" s="44">
        <f>IFERROR(IF(AND(D21&lt;&gt;"",E21&lt;&gt;""),E21/D21,""),"")</f>
        <v/>
      </c>
      <c r="G21" s="44" t="inlineStr"/>
      <c r="H21" s="44" t="inlineStr"/>
      <c r="I21" s="44" t="inlineStr"/>
    </row>
    <row r="22" ht="22" customHeight="1">
      <c r="A22" s="39" t="n">
        <v>46041</v>
      </c>
      <c r="B22" s="40" t="inlineStr">
        <is>
          <t>Monday</t>
        </is>
      </c>
      <c r="C22" s="41" t="n">
        <v>0</v>
      </c>
      <c r="D22" s="40" t="inlineStr"/>
      <c r="E22" s="40" t="inlineStr"/>
      <c r="F22" s="40">
        <f>IFERROR(IF(AND(D22&lt;&gt;"",E22&lt;&gt;""),E22/D22,""),"")</f>
        <v/>
      </c>
      <c r="G22" s="40" t="inlineStr"/>
      <c r="H22" s="40" t="inlineStr"/>
      <c r="I22" s="40" t="inlineStr"/>
    </row>
    <row r="23" ht="22" customHeight="1">
      <c r="A23" s="43" t="n">
        <v>46042</v>
      </c>
      <c r="B23" s="44" t="inlineStr">
        <is>
          <t>Tuesday</t>
        </is>
      </c>
      <c r="C23" s="41" t="n">
        <v>0</v>
      </c>
      <c r="D23" s="44" t="inlineStr"/>
      <c r="E23" s="44" t="inlineStr"/>
      <c r="F23" s="44">
        <f>IFERROR(IF(AND(D23&lt;&gt;"",E23&lt;&gt;""),E23/D23,""),"")</f>
        <v/>
      </c>
      <c r="G23" s="44" t="inlineStr"/>
      <c r="H23" s="44" t="inlineStr"/>
      <c r="I23" s="44" t="inlineStr"/>
    </row>
    <row r="24" ht="22" customHeight="1">
      <c r="A24" s="39" t="n">
        <v>46043</v>
      </c>
      <c r="B24" s="40" t="inlineStr">
        <is>
          <t>Wednesday</t>
        </is>
      </c>
      <c r="C24" s="41" t="n">
        <v>0</v>
      </c>
      <c r="D24" s="40" t="inlineStr"/>
      <c r="E24" s="40" t="inlineStr"/>
      <c r="F24" s="40">
        <f>IFERROR(IF(AND(D24&lt;&gt;"",E24&lt;&gt;""),E24/D24,""),"")</f>
        <v/>
      </c>
      <c r="G24" s="40" t="inlineStr"/>
      <c r="H24" s="40" t="inlineStr"/>
      <c r="I24" s="40" t="inlineStr"/>
    </row>
    <row r="25" ht="22" customHeight="1">
      <c r="A25" s="43" t="n">
        <v>46044</v>
      </c>
      <c r="B25" s="44" t="inlineStr">
        <is>
          <t>Thursday</t>
        </is>
      </c>
      <c r="C25" s="41" t="n">
        <v>0</v>
      </c>
      <c r="D25" s="44" t="inlineStr"/>
      <c r="E25" s="44" t="inlineStr"/>
      <c r="F25" s="44">
        <f>IFERROR(IF(AND(D25&lt;&gt;"",E25&lt;&gt;""),E25/D25,""),"")</f>
        <v/>
      </c>
      <c r="G25" s="44" t="inlineStr"/>
      <c r="H25" s="44" t="inlineStr"/>
      <c r="I25" s="44" t="inlineStr"/>
    </row>
    <row r="26" ht="22" customHeight="1">
      <c r="A26" s="39" t="n">
        <v>46045</v>
      </c>
      <c r="B26" s="40" t="inlineStr">
        <is>
          <t>Friday</t>
        </is>
      </c>
      <c r="C26" s="41" t="n">
        <v>0</v>
      </c>
      <c r="D26" s="40" t="inlineStr"/>
      <c r="E26" s="40" t="inlineStr"/>
      <c r="F26" s="40">
        <f>IFERROR(IF(AND(D26&lt;&gt;"",E26&lt;&gt;""),E26/D26,""),"")</f>
        <v/>
      </c>
      <c r="G26" s="40" t="inlineStr"/>
      <c r="H26" s="40" t="inlineStr"/>
      <c r="I26" s="40" t="inlineStr"/>
    </row>
    <row r="27" ht="22" customHeight="1">
      <c r="A27" s="43" t="n">
        <v>46046</v>
      </c>
      <c r="B27" s="44" t="inlineStr">
        <is>
          <t>Saturday</t>
        </is>
      </c>
      <c r="C27" s="41" t="n">
        <v>0</v>
      </c>
      <c r="D27" s="44" t="inlineStr"/>
      <c r="E27" s="44" t="inlineStr"/>
      <c r="F27" s="44">
        <f>IFERROR(IF(AND(D27&lt;&gt;"",E27&lt;&gt;""),E27/D27,""),"")</f>
        <v/>
      </c>
      <c r="G27" s="44" t="inlineStr"/>
      <c r="H27" s="44" t="inlineStr"/>
      <c r="I27" s="44" t="inlineStr"/>
    </row>
    <row r="28" ht="22" customHeight="1">
      <c r="A28" s="39" t="n">
        <v>46047</v>
      </c>
      <c r="B28" s="40" t="inlineStr">
        <is>
          <t>Sunday</t>
        </is>
      </c>
      <c r="C28" s="41" t="n">
        <v>0</v>
      </c>
      <c r="D28" s="40" t="inlineStr"/>
      <c r="E28" s="40" t="inlineStr"/>
      <c r="F28" s="40">
        <f>IFERROR(IF(AND(D28&lt;&gt;"",E28&lt;&gt;""),E28/D28,""),"")</f>
        <v/>
      </c>
      <c r="G28" s="40" t="inlineStr"/>
      <c r="H28" s="40" t="inlineStr"/>
      <c r="I28" s="40" t="inlineStr"/>
    </row>
    <row r="29" ht="22" customHeight="1">
      <c r="A29" s="43" t="n">
        <v>46048</v>
      </c>
      <c r="B29" s="44" t="inlineStr">
        <is>
          <t>Monday</t>
        </is>
      </c>
      <c r="C29" s="41" t="n">
        <v>0</v>
      </c>
      <c r="D29" s="44" t="inlineStr"/>
      <c r="E29" s="44" t="inlineStr"/>
      <c r="F29" s="44">
        <f>IFERROR(IF(AND(D29&lt;&gt;"",E29&lt;&gt;""),E29/D29,""),"")</f>
        <v/>
      </c>
      <c r="G29" s="44" t="inlineStr"/>
      <c r="H29" s="44" t="inlineStr"/>
      <c r="I29" s="44" t="inlineStr"/>
    </row>
    <row r="30" ht="22" customHeight="1">
      <c r="A30" s="39" t="n">
        <v>46049</v>
      </c>
      <c r="B30" s="40" t="inlineStr">
        <is>
          <t>Tuesday</t>
        </is>
      </c>
      <c r="C30" s="41" t="n">
        <v>0</v>
      </c>
      <c r="D30" s="40" t="inlineStr"/>
      <c r="E30" s="40" t="inlineStr"/>
      <c r="F30" s="40">
        <f>IFERROR(IF(AND(D30&lt;&gt;"",E30&lt;&gt;""),E30/D30,""),"")</f>
        <v/>
      </c>
      <c r="G30" s="40" t="inlineStr"/>
      <c r="H30" s="40" t="inlineStr"/>
      <c r="I30" s="40" t="inlineStr"/>
    </row>
    <row r="31" ht="22" customHeight="1">
      <c r="A31" s="43" t="n">
        <v>46050</v>
      </c>
      <c r="B31" s="44" t="inlineStr">
        <is>
          <t>Wednesday</t>
        </is>
      </c>
      <c r="C31" s="41" t="n">
        <v>0</v>
      </c>
      <c r="D31" s="44" t="inlineStr"/>
      <c r="E31" s="44" t="inlineStr"/>
      <c r="F31" s="44">
        <f>IFERROR(IF(AND(D31&lt;&gt;"",E31&lt;&gt;""),E31/D31,""),"")</f>
        <v/>
      </c>
      <c r="G31" s="44" t="inlineStr"/>
      <c r="H31" s="44" t="inlineStr"/>
      <c r="I31" s="44" t="inlineStr"/>
    </row>
    <row r="32" ht="22" customHeight="1">
      <c r="A32" s="39" t="n">
        <v>46051</v>
      </c>
      <c r="B32" s="40" t="inlineStr">
        <is>
          <t>Thursday</t>
        </is>
      </c>
      <c r="C32" s="41" t="n">
        <v>0</v>
      </c>
      <c r="D32" s="40" t="inlineStr"/>
      <c r="E32" s="40" t="inlineStr"/>
      <c r="F32" s="40">
        <f>IFERROR(IF(AND(D32&lt;&gt;"",E32&lt;&gt;""),E32/D32,""),"")</f>
        <v/>
      </c>
      <c r="G32" s="40" t="inlineStr"/>
      <c r="H32" s="40" t="inlineStr"/>
      <c r="I32" s="40" t="inlineStr"/>
    </row>
    <row r="33" ht="22" customHeight="1">
      <c r="A33" s="43" t="n">
        <v>46052</v>
      </c>
      <c r="B33" s="44" t="inlineStr">
        <is>
          <t>Friday</t>
        </is>
      </c>
      <c r="C33" s="41" t="n">
        <v>0</v>
      </c>
      <c r="D33" s="44" t="inlineStr"/>
      <c r="E33" s="44" t="inlineStr"/>
      <c r="F33" s="44">
        <f>IFERROR(IF(AND(D33&lt;&gt;"",E33&lt;&gt;""),E33/D33,""),"")</f>
        <v/>
      </c>
      <c r="G33" s="44" t="inlineStr"/>
      <c r="H33" s="44" t="inlineStr"/>
      <c r="I33" s="44" t="inlineStr"/>
    </row>
    <row r="34" ht="22" customHeight="1">
      <c r="A34" s="39" t="n">
        <v>46053</v>
      </c>
      <c r="B34" s="40" t="inlineStr">
        <is>
          <t>Saturday</t>
        </is>
      </c>
      <c r="C34" s="41" t="n">
        <v>0</v>
      </c>
      <c r="D34" s="40" t="inlineStr"/>
      <c r="E34" s="40" t="inlineStr"/>
      <c r="F34" s="40">
        <f>IFERROR(IF(AND(D34&lt;&gt;"",E34&lt;&gt;""),E34/D34,""),"")</f>
        <v/>
      </c>
      <c r="G34" s="40" t="inlineStr"/>
      <c r="H34" s="40" t="inlineStr"/>
      <c r="I34" s="40" t="inlineStr"/>
    </row>
    <row r="35" ht="22" customHeight="1">
      <c r="A35" s="43" t="n">
        <v>46054</v>
      </c>
      <c r="B35" s="44" t="inlineStr">
        <is>
          <t>Sunday</t>
        </is>
      </c>
      <c r="C35" s="41" t="n">
        <v>0</v>
      </c>
      <c r="D35" s="44" t="inlineStr"/>
      <c r="E35" s="44" t="inlineStr"/>
      <c r="F35" s="44">
        <f>IFERROR(IF(AND(D35&lt;&gt;"",E35&lt;&gt;""),E35/D35,""),"")</f>
        <v/>
      </c>
      <c r="G35" s="44" t="inlineStr"/>
      <c r="H35" s="44" t="inlineStr"/>
      <c r="I35" s="44" t="inlineStr"/>
    </row>
    <row r="36" ht="22" customHeight="1">
      <c r="A36" s="39" t="n">
        <v>46055</v>
      </c>
      <c r="B36" s="40" t="inlineStr">
        <is>
          <t>Monday</t>
        </is>
      </c>
      <c r="C36" s="41" t="n">
        <v>0</v>
      </c>
      <c r="D36" s="40" t="inlineStr"/>
      <c r="E36" s="40" t="inlineStr"/>
      <c r="F36" s="40">
        <f>IFERROR(IF(AND(D36&lt;&gt;"",E36&lt;&gt;""),E36/D36,""),"")</f>
        <v/>
      </c>
      <c r="G36" s="40" t="inlineStr"/>
      <c r="H36" s="40" t="inlineStr"/>
      <c r="I36" s="40" t="inlineStr"/>
    </row>
    <row r="37" ht="22" customHeight="1">
      <c r="A37" s="43" t="n">
        <v>46056</v>
      </c>
      <c r="B37" s="44" t="inlineStr">
        <is>
          <t>Tuesday</t>
        </is>
      </c>
      <c r="C37" s="41" t="n">
        <v>0</v>
      </c>
      <c r="D37" s="44" t="inlineStr"/>
      <c r="E37" s="44" t="inlineStr"/>
      <c r="F37" s="44">
        <f>IFERROR(IF(AND(D37&lt;&gt;"",E37&lt;&gt;""),E37/D37,""),"")</f>
        <v/>
      </c>
      <c r="G37" s="44" t="inlineStr"/>
      <c r="H37" s="44" t="inlineStr"/>
      <c r="I37" s="44" t="inlineStr"/>
    </row>
    <row r="38" ht="22" customHeight="1">
      <c r="A38" s="39" t="n">
        <v>46057</v>
      </c>
      <c r="B38" s="40" t="inlineStr">
        <is>
          <t>Wednesday</t>
        </is>
      </c>
      <c r="C38" s="41" t="n">
        <v>0</v>
      </c>
      <c r="D38" s="40" t="inlineStr"/>
      <c r="E38" s="40" t="inlineStr"/>
      <c r="F38" s="40">
        <f>IFERROR(IF(AND(D38&lt;&gt;"",E38&lt;&gt;""),E38/D38,""),"")</f>
        <v/>
      </c>
      <c r="G38" s="40" t="inlineStr"/>
      <c r="H38" s="40" t="inlineStr"/>
      <c r="I38" s="40" t="inlineStr"/>
    </row>
    <row r="39" ht="22" customHeight="1">
      <c r="A39" s="43" t="n">
        <v>46058</v>
      </c>
      <c r="B39" s="44" t="inlineStr">
        <is>
          <t>Thursday</t>
        </is>
      </c>
      <c r="C39" s="41" t="n">
        <v>0</v>
      </c>
      <c r="D39" s="44" t="inlineStr"/>
      <c r="E39" s="44" t="inlineStr"/>
      <c r="F39" s="44">
        <f>IFERROR(IF(AND(D39&lt;&gt;"",E39&lt;&gt;""),E39/D39,""),"")</f>
        <v/>
      </c>
      <c r="G39" s="44" t="inlineStr"/>
      <c r="H39" s="44" t="inlineStr"/>
      <c r="I39" s="44" t="inlineStr"/>
    </row>
    <row r="40" ht="22" customHeight="1">
      <c r="A40" s="39" t="n">
        <v>46059</v>
      </c>
      <c r="B40" s="40" t="inlineStr">
        <is>
          <t>Friday</t>
        </is>
      </c>
      <c r="C40" s="41" t="n">
        <v>0</v>
      </c>
      <c r="D40" s="40" t="inlineStr"/>
      <c r="E40" s="40" t="inlineStr"/>
      <c r="F40" s="40">
        <f>IFERROR(IF(AND(D40&lt;&gt;"",E40&lt;&gt;""),E40/D40,""),"")</f>
        <v/>
      </c>
      <c r="G40" s="40" t="inlineStr"/>
      <c r="H40" s="40" t="inlineStr"/>
      <c r="I40" s="40" t="inlineStr"/>
    </row>
    <row r="41" ht="22" customHeight="1">
      <c r="A41" s="43" t="n">
        <v>46060</v>
      </c>
      <c r="B41" s="44" t="inlineStr">
        <is>
          <t>Saturday</t>
        </is>
      </c>
      <c r="C41" s="41" t="n">
        <v>0</v>
      </c>
      <c r="D41" s="44" t="inlineStr"/>
      <c r="E41" s="44" t="inlineStr"/>
      <c r="F41" s="44">
        <f>IFERROR(IF(AND(D41&lt;&gt;"",E41&lt;&gt;""),E41/D41,""),"")</f>
        <v/>
      </c>
      <c r="G41" s="44" t="inlineStr"/>
      <c r="H41" s="44" t="inlineStr"/>
      <c r="I41" s="44" t="inlineStr"/>
    </row>
    <row r="42" ht="22" customHeight="1">
      <c r="A42" s="39" t="n">
        <v>46061</v>
      </c>
      <c r="B42" s="40" t="inlineStr">
        <is>
          <t>Sunday</t>
        </is>
      </c>
      <c r="C42" s="41" t="n">
        <v>0</v>
      </c>
      <c r="D42" s="40" t="inlineStr"/>
      <c r="E42" s="40" t="inlineStr"/>
      <c r="F42" s="40">
        <f>IFERROR(IF(AND(D42&lt;&gt;"",E42&lt;&gt;""),E42/D42,""),"")</f>
        <v/>
      </c>
      <c r="G42" s="40" t="inlineStr"/>
      <c r="H42" s="40" t="inlineStr"/>
      <c r="I42" s="40" t="inlineStr"/>
    </row>
    <row r="43" ht="22" customHeight="1">
      <c r="A43" s="43" t="n">
        <v>46062</v>
      </c>
      <c r="B43" s="44" t="inlineStr">
        <is>
          <t>Monday</t>
        </is>
      </c>
      <c r="C43" s="41" t="n">
        <v>0</v>
      </c>
      <c r="D43" s="44" t="inlineStr"/>
      <c r="E43" s="44" t="inlineStr"/>
      <c r="F43" s="44">
        <f>IFERROR(IF(AND(D43&lt;&gt;"",E43&lt;&gt;""),E43/D43,""),"")</f>
        <v/>
      </c>
      <c r="G43" s="44" t="inlineStr"/>
      <c r="H43" s="44" t="inlineStr"/>
      <c r="I43" s="44" t="inlineStr"/>
    </row>
    <row r="44" ht="22" customHeight="1">
      <c r="A44" s="39" t="n">
        <v>46063</v>
      </c>
      <c r="B44" s="40" t="inlineStr">
        <is>
          <t>Tuesday</t>
        </is>
      </c>
      <c r="C44" s="41" t="n">
        <v>0</v>
      </c>
      <c r="D44" s="40" t="inlineStr"/>
      <c r="E44" s="40" t="inlineStr"/>
      <c r="F44" s="40">
        <f>IFERROR(IF(AND(D44&lt;&gt;"",E44&lt;&gt;""),E44/D44,""),"")</f>
        <v/>
      </c>
      <c r="G44" s="40" t="inlineStr"/>
      <c r="H44" s="40" t="inlineStr"/>
      <c r="I44" s="40" t="inlineStr"/>
    </row>
    <row r="45" ht="22" customHeight="1">
      <c r="A45" s="43" t="n">
        <v>46064</v>
      </c>
      <c r="B45" s="44" t="inlineStr">
        <is>
          <t>Wednesday</t>
        </is>
      </c>
      <c r="C45" s="41" t="n">
        <v>0</v>
      </c>
      <c r="D45" s="44" t="inlineStr"/>
      <c r="E45" s="44" t="inlineStr"/>
      <c r="F45" s="44">
        <f>IFERROR(IF(AND(D45&lt;&gt;"",E45&lt;&gt;""),E45/D45,""),"")</f>
        <v/>
      </c>
      <c r="G45" s="44" t="inlineStr"/>
      <c r="H45" s="44" t="inlineStr"/>
      <c r="I45" s="44" t="inlineStr"/>
    </row>
    <row r="46" ht="22" customHeight="1">
      <c r="A46" s="39" t="n">
        <v>46065</v>
      </c>
      <c r="B46" s="40" t="inlineStr">
        <is>
          <t>Thursday</t>
        </is>
      </c>
      <c r="C46" s="41" t="n">
        <v>0</v>
      </c>
      <c r="D46" s="40" t="inlineStr"/>
      <c r="E46" s="40" t="inlineStr"/>
      <c r="F46" s="40">
        <f>IFERROR(IF(AND(D46&lt;&gt;"",E46&lt;&gt;""),E46/D46,""),"")</f>
        <v/>
      </c>
      <c r="G46" s="40" t="inlineStr"/>
      <c r="H46" s="40" t="inlineStr"/>
      <c r="I46" s="40" t="inlineStr"/>
    </row>
    <row r="47" ht="22" customHeight="1">
      <c r="A47" s="43" t="n">
        <v>46066</v>
      </c>
      <c r="B47" s="44" t="inlineStr">
        <is>
          <t>Friday</t>
        </is>
      </c>
      <c r="C47" s="41" t="n">
        <v>0</v>
      </c>
      <c r="D47" s="44" t="inlineStr"/>
      <c r="E47" s="44" t="inlineStr"/>
      <c r="F47" s="44">
        <f>IFERROR(IF(AND(D47&lt;&gt;"",E47&lt;&gt;""),E47/D47,""),"")</f>
        <v/>
      </c>
      <c r="G47" s="44" t="inlineStr"/>
      <c r="H47" s="44" t="inlineStr"/>
      <c r="I47" s="44" t="inlineStr"/>
    </row>
    <row r="48" ht="22" customHeight="1">
      <c r="A48" s="39" t="n">
        <v>46067</v>
      </c>
      <c r="B48" s="40" t="inlineStr">
        <is>
          <t>Saturday</t>
        </is>
      </c>
      <c r="C48" s="41" t="n">
        <v>0</v>
      </c>
      <c r="D48" s="40" t="inlineStr"/>
      <c r="E48" s="40" t="inlineStr"/>
      <c r="F48" s="40">
        <f>IFERROR(IF(AND(D48&lt;&gt;"",E48&lt;&gt;""),E48/D48,""),"")</f>
        <v/>
      </c>
      <c r="G48" s="40" t="inlineStr"/>
      <c r="H48" s="40" t="inlineStr"/>
      <c r="I48" s="40" t="inlineStr"/>
    </row>
    <row r="49" ht="22" customHeight="1">
      <c r="A49" s="43" t="n">
        <v>46068</v>
      </c>
      <c r="B49" s="44" t="inlineStr">
        <is>
          <t>Sunday</t>
        </is>
      </c>
      <c r="C49" s="41" t="n">
        <v>0</v>
      </c>
      <c r="D49" s="44" t="inlineStr"/>
      <c r="E49" s="44" t="inlineStr"/>
      <c r="F49" s="44">
        <f>IFERROR(IF(AND(D49&lt;&gt;"",E49&lt;&gt;""),E49/D49,""),"")</f>
        <v/>
      </c>
      <c r="G49" s="44" t="inlineStr"/>
      <c r="H49" s="44" t="inlineStr"/>
      <c r="I49" s="44" t="inlineStr"/>
    </row>
    <row r="50" ht="22" customHeight="1">
      <c r="A50" s="39" t="n">
        <v>46069</v>
      </c>
      <c r="B50" s="40" t="inlineStr">
        <is>
          <t>Monday</t>
        </is>
      </c>
      <c r="C50" s="41" t="n">
        <v>0</v>
      </c>
      <c r="D50" s="40" t="inlineStr"/>
      <c r="E50" s="40" t="inlineStr"/>
      <c r="F50" s="40">
        <f>IFERROR(IF(AND(D50&lt;&gt;"",E50&lt;&gt;""),E50/D50,""),"")</f>
        <v/>
      </c>
      <c r="G50" s="40" t="inlineStr"/>
      <c r="H50" s="40" t="inlineStr"/>
      <c r="I50" s="40" t="inlineStr"/>
    </row>
    <row r="51" ht="22" customHeight="1">
      <c r="A51" s="43" t="n">
        <v>46070</v>
      </c>
      <c r="B51" s="44" t="inlineStr">
        <is>
          <t>Tuesday</t>
        </is>
      </c>
      <c r="C51" s="41" t="n">
        <v>0</v>
      </c>
      <c r="D51" s="44" t="inlineStr"/>
      <c r="E51" s="44" t="inlineStr"/>
      <c r="F51" s="44">
        <f>IFERROR(IF(AND(D51&lt;&gt;"",E51&lt;&gt;""),E51/D51,""),"")</f>
        <v/>
      </c>
      <c r="G51" s="44" t="inlineStr"/>
      <c r="H51" s="44" t="inlineStr"/>
      <c r="I51" s="44" t="inlineStr"/>
    </row>
    <row r="52" ht="22" customHeight="1">
      <c r="A52" s="39" t="n">
        <v>46071</v>
      </c>
      <c r="B52" s="40" t="inlineStr">
        <is>
          <t>Wednesday</t>
        </is>
      </c>
      <c r="C52" s="41" t="n">
        <v>0</v>
      </c>
      <c r="D52" s="40" t="inlineStr"/>
      <c r="E52" s="40" t="inlineStr"/>
      <c r="F52" s="40">
        <f>IFERROR(IF(AND(D52&lt;&gt;"",E52&lt;&gt;""),E52/D52,""),"")</f>
        <v/>
      </c>
      <c r="G52" s="40" t="inlineStr"/>
      <c r="H52" s="40" t="inlineStr"/>
      <c r="I52" s="40" t="inlineStr"/>
    </row>
    <row r="53" ht="22" customHeight="1">
      <c r="A53" s="43" t="n">
        <v>46072</v>
      </c>
      <c r="B53" s="44" t="inlineStr">
        <is>
          <t>Thursday</t>
        </is>
      </c>
      <c r="C53" s="41" t="n">
        <v>0</v>
      </c>
      <c r="D53" s="44" t="inlineStr"/>
      <c r="E53" s="44" t="inlineStr"/>
      <c r="F53" s="44">
        <f>IFERROR(IF(AND(D53&lt;&gt;"",E53&lt;&gt;""),E53/D53,""),"")</f>
        <v/>
      </c>
      <c r="G53" s="44" t="inlineStr"/>
      <c r="H53" s="44" t="inlineStr"/>
      <c r="I53" s="44" t="inlineStr"/>
    </row>
    <row r="54" ht="22" customHeight="1">
      <c r="A54" s="39" t="n">
        <v>46073</v>
      </c>
      <c r="B54" s="40" t="inlineStr">
        <is>
          <t>Friday</t>
        </is>
      </c>
      <c r="C54" s="41" t="n">
        <v>0</v>
      </c>
      <c r="D54" s="40" t="inlineStr"/>
      <c r="E54" s="40" t="inlineStr"/>
      <c r="F54" s="40">
        <f>IFERROR(IF(AND(D54&lt;&gt;"",E54&lt;&gt;""),E54/D54,""),"")</f>
        <v/>
      </c>
      <c r="G54" s="40" t="inlineStr"/>
      <c r="H54" s="40" t="inlineStr"/>
      <c r="I54" s="40" t="inlineStr"/>
    </row>
    <row r="55" ht="22" customHeight="1">
      <c r="A55" s="43" t="n">
        <v>46074</v>
      </c>
      <c r="B55" s="44" t="inlineStr">
        <is>
          <t>Saturday</t>
        </is>
      </c>
      <c r="C55" s="41" t="n">
        <v>0</v>
      </c>
      <c r="D55" s="44" t="inlineStr"/>
      <c r="E55" s="44" t="inlineStr"/>
      <c r="F55" s="44">
        <f>IFERROR(IF(AND(D55&lt;&gt;"",E55&lt;&gt;""),E55/D55,""),"")</f>
        <v/>
      </c>
      <c r="G55" s="44" t="inlineStr"/>
      <c r="H55" s="44" t="inlineStr"/>
      <c r="I55" s="44" t="inlineStr"/>
    </row>
    <row r="56" ht="22" customHeight="1">
      <c r="A56" s="39" t="n">
        <v>46075</v>
      </c>
      <c r="B56" s="40" t="inlineStr">
        <is>
          <t>Sunday</t>
        </is>
      </c>
      <c r="C56" s="41" t="n">
        <v>0</v>
      </c>
      <c r="D56" s="40" t="inlineStr"/>
      <c r="E56" s="40" t="inlineStr"/>
      <c r="F56" s="40">
        <f>IFERROR(IF(AND(D56&lt;&gt;"",E56&lt;&gt;""),E56/D56,""),"")</f>
        <v/>
      </c>
      <c r="G56" s="40" t="inlineStr"/>
      <c r="H56" s="40" t="inlineStr"/>
      <c r="I56" s="40" t="inlineStr"/>
    </row>
    <row r="57" ht="22" customHeight="1">
      <c r="A57" s="43" t="n">
        <v>46076</v>
      </c>
      <c r="B57" s="44" t="inlineStr">
        <is>
          <t>Monday</t>
        </is>
      </c>
      <c r="C57" s="41" t="n">
        <v>0</v>
      </c>
      <c r="D57" s="44" t="inlineStr"/>
      <c r="E57" s="44" t="inlineStr"/>
      <c r="F57" s="44">
        <f>IFERROR(IF(AND(D57&lt;&gt;"",E57&lt;&gt;""),E57/D57,""),"")</f>
        <v/>
      </c>
      <c r="G57" s="44" t="inlineStr"/>
      <c r="H57" s="44" t="inlineStr"/>
      <c r="I57" s="44" t="inlineStr"/>
    </row>
    <row r="58" ht="22" customHeight="1">
      <c r="A58" s="39" t="n">
        <v>46077</v>
      </c>
      <c r="B58" s="40" t="inlineStr">
        <is>
          <t>Tuesday</t>
        </is>
      </c>
      <c r="C58" s="41" t="n">
        <v>0</v>
      </c>
      <c r="D58" s="40" t="inlineStr"/>
      <c r="E58" s="40" t="inlineStr"/>
      <c r="F58" s="40">
        <f>IFERROR(IF(AND(D58&lt;&gt;"",E58&lt;&gt;""),E58/D58,""),"")</f>
        <v/>
      </c>
      <c r="G58" s="40" t="inlineStr"/>
      <c r="H58" s="40" t="inlineStr"/>
      <c r="I58" s="40" t="inlineStr"/>
    </row>
    <row r="59" ht="22" customHeight="1">
      <c r="A59" s="43" t="n">
        <v>46078</v>
      </c>
      <c r="B59" s="44" t="inlineStr">
        <is>
          <t>Wednesday</t>
        </is>
      </c>
      <c r="C59" s="41" t="n">
        <v>0</v>
      </c>
      <c r="D59" s="44" t="inlineStr"/>
      <c r="E59" s="44" t="inlineStr"/>
      <c r="F59" s="44">
        <f>IFERROR(IF(AND(D59&lt;&gt;"",E59&lt;&gt;""),E59/D59,""),"")</f>
        <v/>
      </c>
      <c r="G59" s="44" t="inlineStr"/>
      <c r="H59" s="44" t="inlineStr"/>
      <c r="I59" s="44" t="inlineStr"/>
    </row>
    <row r="60" ht="22" customHeight="1">
      <c r="A60" s="39" t="n">
        <v>46079</v>
      </c>
      <c r="B60" s="40" t="inlineStr">
        <is>
          <t>Thursday</t>
        </is>
      </c>
      <c r="C60" s="41" t="n">
        <v>0</v>
      </c>
      <c r="D60" s="40" t="inlineStr"/>
      <c r="E60" s="40" t="inlineStr"/>
      <c r="F60" s="40">
        <f>IFERROR(IF(AND(D60&lt;&gt;"",E60&lt;&gt;""),E60/D60,""),"")</f>
        <v/>
      </c>
      <c r="G60" s="40" t="inlineStr"/>
      <c r="H60" s="40" t="inlineStr"/>
      <c r="I60" s="40" t="inlineStr"/>
    </row>
    <row r="61" ht="22" customHeight="1">
      <c r="A61" s="43" t="n">
        <v>46080</v>
      </c>
      <c r="B61" s="44" t="inlineStr">
        <is>
          <t>Friday</t>
        </is>
      </c>
      <c r="C61" s="41" t="n">
        <v>0</v>
      </c>
      <c r="D61" s="44" t="inlineStr"/>
      <c r="E61" s="44" t="inlineStr"/>
      <c r="F61" s="44">
        <f>IFERROR(IF(AND(D61&lt;&gt;"",E61&lt;&gt;""),E61/D61,""),"")</f>
        <v/>
      </c>
      <c r="G61" s="44" t="inlineStr"/>
      <c r="H61" s="44" t="inlineStr"/>
      <c r="I61" s="44" t="inlineStr"/>
    </row>
    <row r="62" ht="22" customHeight="1">
      <c r="A62" s="39" t="n">
        <v>46081</v>
      </c>
      <c r="B62" s="40" t="inlineStr">
        <is>
          <t>Saturday</t>
        </is>
      </c>
      <c r="C62" s="41" t="n">
        <v>0</v>
      </c>
      <c r="D62" s="40" t="inlineStr"/>
      <c r="E62" s="40" t="inlineStr"/>
      <c r="F62" s="40">
        <f>IFERROR(IF(AND(D62&lt;&gt;"",E62&lt;&gt;""),E62/D62,""),"")</f>
        <v/>
      </c>
      <c r="G62" s="40" t="inlineStr"/>
      <c r="H62" s="40" t="inlineStr"/>
      <c r="I62" s="40" t="inlineStr"/>
    </row>
    <row r="63" ht="22" customHeight="1">
      <c r="A63" s="43" t="n">
        <v>46082</v>
      </c>
      <c r="B63" s="44" t="inlineStr">
        <is>
          <t>Sunday</t>
        </is>
      </c>
      <c r="C63" s="41" t="n">
        <v>0</v>
      </c>
      <c r="D63" s="44" t="inlineStr"/>
      <c r="E63" s="44" t="inlineStr"/>
      <c r="F63" s="44">
        <f>IFERROR(IF(AND(D63&lt;&gt;"",E63&lt;&gt;""),E63/D63,""),"")</f>
        <v/>
      </c>
      <c r="G63" s="44" t="inlineStr"/>
      <c r="H63" s="44" t="inlineStr"/>
      <c r="I63" s="44" t="inlineStr"/>
    </row>
    <row r="64" ht="22" customHeight="1">
      <c r="A64" s="39" t="n">
        <v>46083</v>
      </c>
      <c r="B64" s="40" t="inlineStr">
        <is>
          <t>Monday</t>
        </is>
      </c>
      <c r="C64" s="41" t="n">
        <v>0</v>
      </c>
      <c r="D64" s="40" t="inlineStr"/>
      <c r="E64" s="40" t="inlineStr"/>
      <c r="F64" s="40">
        <f>IFERROR(IF(AND(D64&lt;&gt;"",E64&lt;&gt;""),E64/D64,""),"")</f>
        <v/>
      </c>
      <c r="G64" s="40" t="inlineStr"/>
      <c r="H64" s="40" t="inlineStr"/>
      <c r="I64" s="40" t="inlineStr"/>
    </row>
    <row r="65" ht="22" customHeight="1">
      <c r="A65" s="43" t="n">
        <v>46084</v>
      </c>
      <c r="B65" s="44" t="inlineStr">
        <is>
          <t>Tuesday</t>
        </is>
      </c>
      <c r="C65" s="41" t="n">
        <v>0</v>
      </c>
      <c r="D65" s="44" t="inlineStr"/>
      <c r="E65" s="44" t="inlineStr"/>
      <c r="F65" s="44">
        <f>IFERROR(IF(AND(D65&lt;&gt;"",E65&lt;&gt;""),E65/D65,""),"")</f>
        <v/>
      </c>
      <c r="G65" s="44" t="inlineStr"/>
      <c r="H65" s="44" t="inlineStr"/>
      <c r="I65" s="44" t="inlineStr"/>
    </row>
    <row r="66" ht="22" customHeight="1">
      <c r="A66" s="39" t="n">
        <v>46085</v>
      </c>
      <c r="B66" s="40" t="inlineStr">
        <is>
          <t>Wednesday</t>
        </is>
      </c>
      <c r="C66" s="41" t="n">
        <v>0</v>
      </c>
      <c r="D66" s="40" t="inlineStr"/>
      <c r="E66" s="40" t="inlineStr"/>
      <c r="F66" s="40">
        <f>IFERROR(IF(AND(D66&lt;&gt;"",E66&lt;&gt;""),E66/D66,""),"")</f>
        <v/>
      </c>
      <c r="G66" s="40" t="inlineStr"/>
      <c r="H66" s="40" t="inlineStr"/>
      <c r="I66" s="40" t="inlineStr"/>
    </row>
    <row r="67" ht="22" customHeight="1">
      <c r="A67" s="43" t="n">
        <v>46086</v>
      </c>
      <c r="B67" s="44" t="inlineStr">
        <is>
          <t>Thursday</t>
        </is>
      </c>
      <c r="C67" s="41" t="n">
        <v>0</v>
      </c>
      <c r="D67" s="44" t="inlineStr"/>
      <c r="E67" s="44" t="inlineStr"/>
      <c r="F67" s="44">
        <f>IFERROR(IF(AND(D67&lt;&gt;"",E67&lt;&gt;""),E67/D67,""),"")</f>
        <v/>
      </c>
      <c r="G67" s="44" t="inlineStr"/>
      <c r="H67" s="44" t="inlineStr"/>
      <c r="I67" s="44" t="inlineStr"/>
    </row>
    <row r="68" ht="22" customHeight="1">
      <c r="A68" s="39" t="n">
        <v>46087</v>
      </c>
      <c r="B68" s="40" t="inlineStr">
        <is>
          <t>Friday</t>
        </is>
      </c>
      <c r="C68" s="41" t="n">
        <v>0</v>
      </c>
      <c r="D68" s="40" t="inlineStr"/>
      <c r="E68" s="40" t="inlineStr"/>
      <c r="F68" s="40">
        <f>IFERROR(IF(AND(D68&lt;&gt;"",E68&lt;&gt;""),E68/D68,""),"")</f>
        <v/>
      </c>
      <c r="G68" s="40" t="inlineStr"/>
      <c r="H68" s="40" t="inlineStr"/>
      <c r="I68" s="40" t="inlineStr"/>
    </row>
    <row r="69" ht="22" customHeight="1">
      <c r="A69" s="43" t="n">
        <v>46088</v>
      </c>
      <c r="B69" s="44" t="inlineStr">
        <is>
          <t>Saturday</t>
        </is>
      </c>
      <c r="C69" s="41" t="n">
        <v>0</v>
      </c>
      <c r="D69" s="44" t="inlineStr"/>
      <c r="E69" s="44" t="inlineStr"/>
      <c r="F69" s="44">
        <f>IFERROR(IF(AND(D69&lt;&gt;"",E69&lt;&gt;""),E69/D69,""),"")</f>
        <v/>
      </c>
      <c r="G69" s="44" t="inlineStr"/>
      <c r="H69" s="44" t="inlineStr"/>
      <c r="I69" s="44" t="inlineStr"/>
    </row>
    <row r="70" ht="22" customHeight="1">
      <c r="A70" s="39" t="n">
        <v>46089</v>
      </c>
      <c r="B70" s="40" t="inlineStr">
        <is>
          <t>Sunday</t>
        </is>
      </c>
      <c r="C70" s="41" t="n">
        <v>0</v>
      </c>
      <c r="D70" s="40" t="inlineStr"/>
      <c r="E70" s="40" t="inlineStr"/>
      <c r="F70" s="40">
        <f>IFERROR(IF(AND(D70&lt;&gt;"",E70&lt;&gt;""),E70/D70,""),"")</f>
        <v/>
      </c>
      <c r="G70" s="40" t="inlineStr"/>
      <c r="H70" s="40" t="inlineStr"/>
      <c r="I70" s="40" t="inlineStr"/>
    </row>
    <row r="71" ht="22" customHeight="1">
      <c r="A71" s="43" t="n">
        <v>46090</v>
      </c>
      <c r="B71" s="44" t="inlineStr">
        <is>
          <t>Monday</t>
        </is>
      </c>
      <c r="C71" s="41" t="n">
        <v>0</v>
      </c>
      <c r="D71" s="44" t="inlineStr"/>
      <c r="E71" s="44" t="inlineStr"/>
      <c r="F71" s="44">
        <f>IFERROR(IF(AND(D71&lt;&gt;"",E71&lt;&gt;""),E71/D71,""),"")</f>
        <v/>
      </c>
      <c r="G71" s="44" t="inlineStr"/>
      <c r="H71" s="44" t="inlineStr"/>
      <c r="I71" s="44" t="inlineStr"/>
    </row>
    <row r="72" ht="22" customHeight="1">
      <c r="A72" s="39" t="n">
        <v>46091</v>
      </c>
      <c r="B72" s="40" t="inlineStr">
        <is>
          <t>Tuesday</t>
        </is>
      </c>
      <c r="C72" s="41" t="n">
        <v>0</v>
      </c>
      <c r="D72" s="40" t="inlineStr"/>
      <c r="E72" s="40" t="inlineStr"/>
      <c r="F72" s="40">
        <f>IFERROR(IF(AND(D72&lt;&gt;"",E72&lt;&gt;""),E72/D72,""),"")</f>
        <v/>
      </c>
      <c r="G72" s="40" t="inlineStr"/>
      <c r="H72" s="40" t="inlineStr"/>
      <c r="I72" s="40" t="inlineStr"/>
    </row>
    <row r="73" ht="22" customHeight="1">
      <c r="A73" s="43" t="n">
        <v>46092</v>
      </c>
      <c r="B73" s="44" t="inlineStr">
        <is>
          <t>Wednesday</t>
        </is>
      </c>
      <c r="C73" s="41" t="n">
        <v>0</v>
      </c>
      <c r="D73" s="44" t="inlineStr"/>
      <c r="E73" s="44" t="inlineStr"/>
      <c r="F73" s="44">
        <f>IFERROR(IF(AND(D73&lt;&gt;"",E73&lt;&gt;""),E73/D73,""),"")</f>
        <v/>
      </c>
      <c r="G73" s="44" t="inlineStr"/>
      <c r="H73" s="44" t="inlineStr"/>
      <c r="I73" s="44" t="inlineStr"/>
    </row>
    <row r="74" ht="22" customHeight="1">
      <c r="A74" s="39" t="n">
        <v>46093</v>
      </c>
      <c r="B74" s="40" t="inlineStr">
        <is>
          <t>Thursday</t>
        </is>
      </c>
      <c r="C74" s="41" t="n">
        <v>0</v>
      </c>
      <c r="D74" s="40" t="inlineStr"/>
      <c r="E74" s="40" t="inlineStr"/>
      <c r="F74" s="40">
        <f>IFERROR(IF(AND(D74&lt;&gt;"",E74&lt;&gt;""),E74/D74,""),"")</f>
        <v/>
      </c>
      <c r="G74" s="40" t="inlineStr"/>
      <c r="H74" s="40" t="inlineStr"/>
      <c r="I74" s="40" t="inlineStr"/>
    </row>
    <row r="75" ht="22" customHeight="1">
      <c r="A75" s="43" t="n">
        <v>46094</v>
      </c>
      <c r="B75" s="44" t="inlineStr">
        <is>
          <t>Friday</t>
        </is>
      </c>
      <c r="C75" s="41" t="n">
        <v>0</v>
      </c>
      <c r="D75" s="44" t="inlineStr"/>
      <c r="E75" s="44" t="inlineStr"/>
      <c r="F75" s="44">
        <f>IFERROR(IF(AND(D75&lt;&gt;"",E75&lt;&gt;""),E75/D75,""),"")</f>
        <v/>
      </c>
      <c r="G75" s="44" t="inlineStr"/>
      <c r="H75" s="44" t="inlineStr"/>
      <c r="I75" s="44" t="inlineStr"/>
    </row>
    <row r="76" ht="22" customHeight="1">
      <c r="A76" s="39" t="n">
        <v>46095</v>
      </c>
      <c r="B76" s="40" t="inlineStr">
        <is>
          <t>Saturday</t>
        </is>
      </c>
      <c r="C76" s="41" t="n">
        <v>0</v>
      </c>
      <c r="D76" s="40" t="inlineStr"/>
      <c r="E76" s="40" t="inlineStr"/>
      <c r="F76" s="40">
        <f>IFERROR(IF(AND(D76&lt;&gt;"",E76&lt;&gt;""),E76/D76,""),"")</f>
        <v/>
      </c>
      <c r="G76" s="40" t="inlineStr"/>
      <c r="H76" s="40" t="inlineStr"/>
      <c r="I76" s="40" t="inlineStr"/>
    </row>
    <row r="77" ht="22" customHeight="1">
      <c r="A77" s="43" t="n">
        <v>46096</v>
      </c>
      <c r="B77" s="44" t="inlineStr">
        <is>
          <t>Sunday</t>
        </is>
      </c>
      <c r="C77" s="41" t="n">
        <v>0</v>
      </c>
      <c r="D77" s="44" t="inlineStr"/>
      <c r="E77" s="44" t="inlineStr"/>
      <c r="F77" s="44">
        <f>IFERROR(IF(AND(D77&lt;&gt;"",E77&lt;&gt;""),E77/D77,""),"")</f>
        <v/>
      </c>
      <c r="G77" s="44" t="inlineStr"/>
      <c r="H77" s="44" t="inlineStr"/>
      <c r="I77" s="44" t="inlineStr"/>
    </row>
    <row r="78" ht="22" customHeight="1">
      <c r="A78" s="39" t="n">
        <v>46097</v>
      </c>
      <c r="B78" s="40" t="inlineStr">
        <is>
          <t>Monday</t>
        </is>
      </c>
      <c r="C78" s="41" t="n">
        <v>0</v>
      </c>
      <c r="D78" s="40" t="inlineStr"/>
      <c r="E78" s="40" t="inlineStr"/>
      <c r="F78" s="40">
        <f>IFERROR(IF(AND(D78&lt;&gt;"",E78&lt;&gt;""),E78/D78,""),"")</f>
        <v/>
      </c>
      <c r="G78" s="40" t="inlineStr"/>
      <c r="H78" s="40" t="inlineStr"/>
      <c r="I78" s="40" t="inlineStr"/>
    </row>
    <row r="79" ht="22" customHeight="1">
      <c r="A79" s="43" t="n">
        <v>46098</v>
      </c>
      <c r="B79" s="44" t="inlineStr">
        <is>
          <t>Tuesday</t>
        </is>
      </c>
      <c r="C79" s="41" t="n">
        <v>0</v>
      </c>
      <c r="D79" s="44" t="inlineStr"/>
      <c r="E79" s="44" t="inlineStr"/>
      <c r="F79" s="44">
        <f>IFERROR(IF(AND(D79&lt;&gt;"",E79&lt;&gt;""),E79/D79,""),"")</f>
        <v/>
      </c>
      <c r="G79" s="44" t="inlineStr"/>
      <c r="H79" s="44" t="inlineStr"/>
      <c r="I79" s="44" t="inlineStr"/>
    </row>
    <row r="80" ht="22" customHeight="1">
      <c r="A80" s="39" t="n">
        <v>46099</v>
      </c>
      <c r="B80" s="40" t="inlineStr">
        <is>
          <t>Wednesday</t>
        </is>
      </c>
      <c r="C80" s="41" t="n">
        <v>0</v>
      </c>
      <c r="D80" s="40" t="inlineStr"/>
      <c r="E80" s="40" t="inlineStr"/>
      <c r="F80" s="40">
        <f>IFERROR(IF(AND(D80&lt;&gt;"",E80&lt;&gt;""),E80/D80,""),"")</f>
        <v/>
      </c>
      <c r="G80" s="40" t="inlineStr"/>
      <c r="H80" s="40" t="inlineStr"/>
      <c r="I80" s="40" t="inlineStr"/>
    </row>
    <row r="81" ht="22" customHeight="1">
      <c r="A81" s="43" t="n">
        <v>46100</v>
      </c>
      <c r="B81" s="44" t="inlineStr">
        <is>
          <t>Thursday</t>
        </is>
      </c>
      <c r="C81" s="41" t="n">
        <v>0</v>
      </c>
      <c r="D81" s="44" t="inlineStr"/>
      <c r="E81" s="44" t="inlineStr"/>
      <c r="F81" s="44">
        <f>IFERROR(IF(AND(D81&lt;&gt;"",E81&lt;&gt;""),E81/D81,""),"")</f>
        <v/>
      </c>
      <c r="G81" s="44" t="inlineStr"/>
      <c r="H81" s="44" t="inlineStr"/>
      <c r="I81" s="44" t="inlineStr"/>
    </row>
    <row r="82" ht="22" customHeight="1">
      <c r="A82" s="39" t="n">
        <v>46101</v>
      </c>
      <c r="B82" s="40" t="inlineStr">
        <is>
          <t>Friday</t>
        </is>
      </c>
      <c r="C82" s="41" t="n">
        <v>0</v>
      </c>
      <c r="D82" s="40" t="inlineStr"/>
      <c r="E82" s="40" t="inlineStr"/>
      <c r="F82" s="40">
        <f>IFERROR(IF(AND(D82&lt;&gt;"",E82&lt;&gt;""),E82/D82,""),"")</f>
        <v/>
      </c>
      <c r="G82" s="40" t="inlineStr"/>
      <c r="H82" s="40" t="inlineStr"/>
      <c r="I82" s="40" t="inlineStr"/>
    </row>
    <row r="83" ht="22" customHeight="1">
      <c r="A83" s="43" t="n">
        <v>46102</v>
      </c>
      <c r="B83" s="44" t="inlineStr">
        <is>
          <t>Saturday</t>
        </is>
      </c>
      <c r="C83" s="41" t="n">
        <v>0</v>
      </c>
      <c r="D83" s="44" t="inlineStr"/>
      <c r="E83" s="44" t="inlineStr"/>
      <c r="F83" s="44">
        <f>IFERROR(IF(AND(D83&lt;&gt;"",E83&lt;&gt;""),E83/D83,""),"")</f>
        <v/>
      </c>
      <c r="G83" s="44" t="inlineStr"/>
      <c r="H83" s="44" t="inlineStr"/>
      <c r="I83" s="44" t="inlineStr"/>
    </row>
    <row r="84" ht="22" customHeight="1">
      <c r="A84" s="39" t="n">
        <v>46103</v>
      </c>
      <c r="B84" s="40" t="inlineStr">
        <is>
          <t>Sunday</t>
        </is>
      </c>
      <c r="C84" s="41" t="n">
        <v>0</v>
      </c>
      <c r="D84" s="40" t="inlineStr"/>
      <c r="E84" s="40" t="inlineStr"/>
      <c r="F84" s="40">
        <f>IFERROR(IF(AND(D84&lt;&gt;"",E84&lt;&gt;""),E84/D84,""),"")</f>
        <v/>
      </c>
      <c r="G84" s="40" t="inlineStr"/>
      <c r="H84" s="40" t="inlineStr"/>
      <c r="I84" s="40" t="inlineStr"/>
    </row>
    <row r="85" ht="22" customHeight="1">
      <c r="A85" s="43" t="n">
        <v>46104</v>
      </c>
      <c r="B85" s="44" t="inlineStr">
        <is>
          <t>Monday</t>
        </is>
      </c>
      <c r="C85" s="41" t="n">
        <v>0</v>
      </c>
      <c r="D85" s="44" t="inlineStr"/>
      <c r="E85" s="44" t="inlineStr"/>
      <c r="F85" s="44">
        <f>IFERROR(IF(AND(D85&lt;&gt;"",E85&lt;&gt;""),E85/D85,""),"")</f>
        <v/>
      </c>
      <c r="G85" s="44" t="inlineStr"/>
      <c r="H85" s="44" t="inlineStr"/>
      <c r="I85" s="44" t="inlineStr"/>
    </row>
    <row r="86" ht="22" customHeight="1">
      <c r="A86" s="39" t="n">
        <v>46105</v>
      </c>
      <c r="B86" s="40" t="inlineStr">
        <is>
          <t>Tuesday</t>
        </is>
      </c>
      <c r="C86" s="41" t="n">
        <v>0</v>
      </c>
      <c r="D86" s="40" t="inlineStr"/>
      <c r="E86" s="40" t="inlineStr"/>
      <c r="F86" s="40">
        <f>IFERROR(IF(AND(D86&lt;&gt;"",E86&lt;&gt;""),E86/D86,""),"")</f>
        <v/>
      </c>
      <c r="G86" s="40" t="inlineStr"/>
      <c r="H86" s="40" t="inlineStr"/>
      <c r="I86" s="40" t="inlineStr"/>
    </row>
    <row r="87" ht="22" customHeight="1">
      <c r="A87" s="43" t="n">
        <v>46106</v>
      </c>
      <c r="B87" s="44" t="inlineStr">
        <is>
          <t>Wednesday</t>
        </is>
      </c>
      <c r="C87" s="41" t="n">
        <v>0</v>
      </c>
      <c r="D87" s="44" t="inlineStr"/>
      <c r="E87" s="44" t="inlineStr"/>
      <c r="F87" s="44">
        <f>IFERROR(IF(AND(D87&lt;&gt;"",E87&lt;&gt;""),E87/D87,""),"")</f>
        <v/>
      </c>
      <c r="G87" s="44" t="inlineStr"/>
      <c r="H87" s="44" t="inlineStr"/>
      <c r="I87" s="44" t="inlineStr"/>
    </row>
    <row r="88" ht="22" customHeight="1">
      <c r="A88" s="39" t="n">
        <v>46107</v>
      </c>
      <c r="B88" s="40" t="inlineStr">
        <is>
          <t>Thursday</t>
        </is>
      </c>
      <c r="C88" s="41" t="n">
        <v>0</v>
      </c>
      <c r="D88" s="40" t="inlineStr"/>
      <c r="E88" s="40" t="inlineStr"/>
      <c r="F88" s="40">
        <f>IFERROR(IF(AND(D88&lt;&gt;"",E88&lt;&gt;""),E88/D88,""),"")</f>
        <v/>
      </c>
      <c r="G88" s="40" t="inlineStr"/>
      <c r="H88" s="40" t="inlineStr"/>
      <c r="I88" s="40" t="inlineStr"/>
    </row>
    <row r="89" ht="22" customHeight="1">
      <c r="A89" s="43" t="n">
        <v>46108</v>
      </c>
      <c r="B89" s="44" t="inlineStr">
        <is>
          <t>Friday</t>
        </is>
      </c>
      <c r="C89" s="41" t="n">
        <v>0</v>
      </c>
      <c r="D89" s="44" t="inlineStr"/>
      <c r="E89" s="44" t="inlineStr"/>
      <c r="F89" s="44">
        <f>IFERROR(IF(AND(D89&lt;&gt;"",E89&lt;&gt;""),E89/D89,""),"")</f>
        <v/>
      </c>
      <c r="G89" s="44" t="inlineStr"/>
      <c r="H89" s="44" t="inlineStr"/>
      <c r="I89" s="44" t="inlineStr"/>
    </row>
    <row r="90" ht="22" customHeight="1">
      <c r="A90" s="39" t="n">
        <v>46109</v>
      </c>
      <c r="B90" s="40" t="inlineStr">
        <is>
          <t>Saturday</t>
        </is>
      </c>
      <c r="C90" s="41" t="n">
        <v>0</v>
      </c>
      <c r="D90" s="40" t="inlineStr"/>
      <c r="E90" s="40" t="inlineStr"/>
      <c r="F90" s="40">
        <f>IFERROR(IF(AND(D90&lt;&gt;"",E90&lt;&gt;""),E90/D90,""),"")</f>
        <v/>
      </c>
      <c r="G90" s="40" t="inlineStr"/>
      <c r="H90" s="40" t="inlineStr"/>
      <c r="I90" s="40" t="inlineStr"/>
    </row>
    <row r="91" ht="22" customHeight="1">
      <c r="A91" s="43" t="n">
        <v>46110</v>
      </c>
      <c r="B91" s="44" t="inlineStr">
        <is>
          <t>Sunday</t>
        </is>
      </c>
      <c r="C91" s="41" t="n">
        <v>0</v>
      </c>
      <c r="D91" s="44" t="inlineStr"/>
      <c r="E91" s="44" t="inlineStr"/>
      <c r="F91" s="44">
        <f>IFERROR(IF(AND(D91&lt;&gt;"",E91&lt;&gt;""),E91/D91,""),"")</f>
        <v/>
      </c>
      <c r="G91" s="44" t="inlineStr"/>
      <c r="H91" s="44" t="inlineStr"/>
      <c r="I91" s="44" t="inlineStr"/>
    </row>
    <row r="92" ht="22" customHeight="1">
      <c r="A92" s="39" t="n">
        <v>46111</v>
      </c>
      <c r="B92" s="40" t="inlineStr">
        <is>
          <t>Monday</t>
        </is>
      </c>
      <c r="C92" s="41" t="n">
        <v>0</v>
      </c>
      <c r="D92" s="40" t="inlineStr"/>
      <c r="E92" s="40" t="inlineStr"/>
      <c r="F92" s="40">
        <f>IFERROR(IF(AND(D92&lt;&gt;"",E92&lt;&gt;""),E92/D92,""),"")</f>
        <v/>
      </c>
      <c r="G92" s="40" t="inlineStr"/>
      <c r="H92" s="40" t="inlineStr"/>
      <c r="I92" s="40" t="inlineStr"/>
    </row>
    <row r="93" ht="22" customHeight="1">
      <c r="A93" s="43" t="n">
        <v>46112</v>
      </c>
      <c r="B93" s="44" t="inlineStr">
        <is>
          <t>Tuesday</t>
        </is>
      </c>
      <c r="C93" s="41" t="n">
        <v>0</v>
      </c>
      <c r="D93" s="44" t="inlineStr"/>
      <c r="E93" s="44" t="inlineStr"/>
      <c r="F93" s="44">
        <f>IFERROR(IF(AND(D93&lt;&gt;"",E93&lt;&gt;""),E93/D93,""),"")</f>
        <v/>
      </c>
      <c r="G93" s="44" t="inlineStr"/>
      <c r="H93" s="44" t="inlineStr"/>
      <c r="I93" s="44" t="inlineStr"/>
    </row>
    <row r="94" ht="22" customHeight="1">
      <c r="A94" s="39" t="n">
        <v>46113</v>
      </c>
      <c r="B94" s="40" t="inlineStr">
        <is>
          <t>Wednesday</t>
        </is>
      </c>
      <c r="C94" s="41" t="n">
        <v>0</v>
      </c>
      <c r="D94" s="40" t="inlineStr"/>
      <c r="E94" s="40" t="inlineStr"/>
      <c r="F94" s="40">
        <f>IFERROR(IF(AND(D94&lt;&gt;"",E94&lt;&gt;""),E94/D94,""),"")</f>
        <v/>
      </c>
      <c r="G94" s="40" t="inlineStr"/>
      <c r="H94" s="40" t="inlineStr"/>
      <c r="I94" s="40" t="inlineStr"/>
    </row>
    <row r="95" ht="22" customHeight="1">
      <c r="A95" s="43" t="n">
        <v>46114</v>
      </c>
      <c r="B95" s="44" t="inlineStr">
        <is>
          <t>Thursday</t>
        </is>
      </c>
      <c r="C95" s="41" t="n">
        <v>0</v>
      </c>
      <c r="D95" s="44" t="inlineStr"/>
      <c r="E95" s="44" t="inlineStr"/>
      <c r="F95" s="44">
        <f>IFERROR(IF(AND(D95&lt;&gt;"",E95&lt;&gt;""),E95/D95,""),"")</f>
        <v/>
      </c>
      <c r="G95" s="44" t="inlineStr"/>
      <c r="H95" s="44" t="inlineStr"/>
      <c r="I95" s="44" t="inlineStr"/>
    </row>
    <row r="96" ht="22" customHeight="1">
      <c r="A96" s="39" t="n">
        <v>46115</v>
      </c>
      <c r="B96" s="40" t="inlineStr">
        <is>
          <t>Friday</t>
        </is>
      </c>
      <c r="C96" s="41" t="n">
        <v>0</v>
      </c>
      <c r="D96" s="40" t="inlineStr"/>
      <c r="E96" s="40" t="inlineStr"/>
      <c r="F96" s="40">
        <f>IFERROR(IF(AND(D96&lt;&gt;"",E96&lt;&gt;""),E96/D96,""),"")</f>
        <v/>
      </c>
      <c r="G96" s="40" t="inlineStr"/>
      <c r="H96" s="40" t="inlineStr"/>
      <c r="I96" s="40" t="inlineStr"/>
    </row>
    <row r="97" ht="22" customHeight="1">
      <c r="A97" s="43" t="n">
        <v>46116</v>
      </c>
      <c r="B97" s="44" t="inlineStr">
        <is>
          <t>Saturday</t>
        </is>
      </c>
      <c r="C97" s="41" t="n">
        <v>0</v>
      </c>
      <c r="D97" s="44" t="inlineStr"/>
      <c r="E97" s="44" t="inlineStr"/>
      <c r="F97" s="44">
        <f>IFERROR(IF(AND(D97&lt;&gt;"",E97&lt;&gt;""),E97/D97,""),"")</f>
        <v/>
      </c>
      <c r="G97" s="44" t="inlineStr"/>
      <c r="H97" s="44" t="inlineStr"/>
      <c r="I97" s="44" t="inlineStr"/>
    </row>
    <row r="98" ht="22" customHeight="1">
      <c r="A98" s="39" t="n">
        <v>46117</v>
      </c>
      <c r="B98" s="40" t="inlineStr">
        <is>
          <t>Sunday</t>
        </is>
      </c>
      <c r="C98" s="41" t="n">
        <v>0</v>
      </c>
      <c r="D98" s="40" t="inlineStr"/>
      <c r="E98" s="40" t="inlineStr"/>
      <c r="F98" s="40">
        <f>IFERROR(IF(AND(D98&lt;&gt;"",E98&lt;&gt;""),E98/D98,""),"")</f>
        <v/>
      </c>
      <c r="G98" s="40" t="inlineStr"/>
      <c r="H98" s="40" t="inlineStr"/>
      <c r="I98" s="40" t="inlineStr"/>
    </row>
    <row r="99" ht="22" customHeight="1">
      <c r="A99" s="43" t="n">
        <v>46118</v>
      </c>
      <c r="B99" s="44" t="inlineStr">
        <is>
          <t>Monday</t>
        </is>
      </c>
      <c r="C99" s="41" t="n">
        <v>0</v>
      </c>
      <c r="D99" s="44" t="inlineStr"/>
      <c r="E99" s="44" t="inlineStr"/>
      <c r="F99" s="44">
        <f>IFERROR(IF(AND(D99&lt;&gt;"",E99&lt;&gt;""),E99/D99,""),"")</f>
        <v/>
      </c>
      <c r="G99" s="44" t="inlineStr"/>
      <c r="H99" s="44" t="inlineStr"/>
      <c r="I99" s="44" t="inlineStr"/>
    </row>
    <row r="100" ht="22" customHeight="1">
      <c r="A100" s="39" t="n">
        <v>46119</v>
      </c>
      <c r="B100" s="40" t="inlineStr">
        <is>
          <t>Tuesday</t>
        </is>
      </c>
      <c r="C100" s="41" t="n">
        <v>0</v>
      </c>
      <c r="D100" s="40" t="inlineStr"/>
      <c r="E100" s="40" t="inlineStr"/>
      <c r="F100" s="40">
        <f>IFERROR(IF(AND(D100&lt;&gt;"",E100&lt;&gt;""),E100/D100,""),"")</f>
        <v/>
      </c>
      <c r="G100" s="40" t="inlineStr"/>
      <c r="H100" s="40" t="inlineStr"/>
      <c r="I100" s="40" t="inlineStr"/>
    </row>
    <row r="101" ht="22" customHeight="1">
      <c r="A101" s="43" t="n">
        <v>46120</v>
      </c>
      <c r="B101" s="44" t="inlineStr">
        <is>
          <t>Wednesday</t>
        </is>
      </c>
      <c r="C101" s="41" t="n">
        <v>0</v>
      </c>
      <c r="D101" s="44" t="inlineStr"/>
      <c r="E101" s="44" t="inlineStr"/>
      <c r="F101" s="44">
        <f>IFERROR(IF(AND(D101&lt;&gt;"",E101&lt;&gt;""),E101/D101,""),"")</f>
        <v/>
      </c>
      <c r="G101" s="44" t="inlineStr"/>
      <c r="H101" s="44" t="inlineStr"/>
      <c r="I101" s="44" t="inlineStr"/>
    </row>
    <row r="102" ht="22" customHeight="1">
      <c r="A102" s="39" t="n">
        <v>46121</v>
      </c>
      <c r="B102" s="40" t="inlineStr">
        <is>
          <t>Thursday</t>
        </is>
      </c>
      <c r="C102" s="41" t="n">
        <v>0</v>
      </c>
      <c r="D102" s="40" t="inlineStr"/>
      <c r="E102" s="40" t="inlineStr"/>
      <c r="F102" s="40">
        <f>IFERROR(IF(AND(D102&lt;&gt;"",E102&lt;&gt;""),E102/D102,""),"")</f>
        <v/>
      </c>
      <c r="G102" s="40" t="inlineStr"/>
      <c r="H102" s="40" t="inlineStr"/>
      <c r="I102" s="40" t="inlineStr"/>
    </row>
    <row r="103" ht="22" customHeight="1">
      <c r="A103" s="43" t="n">
        <v>46122</v>
      </c>
      <c r="B103" s="44" t="inlineStr">
        <is>
          <t>Friday</t>
        </is>
      </c>
      <c r="C103" s="41" t="n">
        <v>0</v>
      </c>
      <c r="D103" s="44" t="inlineStr"/>
      <c r="E103" s="44" t="inlineStr"/>
      <c r="F103" s="44">
        <f>IFERROR(IF(AND(D103&lt;&gt;"",E103&lt;&gt;""),E103/D103,""),"")</f>
        <v/>
      </c>
      <c r="G103" s="44" t="inlineStr"/>
      <c r="H103" s="44" t="inlineStr"/>
      <c r="I103" s="44" t="inlineStr"/>
    </row>
    <row r="104" ht="22" customHeight="1">
      <c r="A104" s="39" t="n">
        <v>46123</v>
      </c>
      <c r="B104" s="40" t="inlineStr">
        <is>
          <t>Saturday</t>
        </is>
      </c>
      <c r="C104" s="41" t="n">
        <v>0</v>
      </c>
      <c r="D104" s="40" t="inlineStr"/>
      <c r="E104" s="40" t="inlineStr"/>
      <c r="F104" s="40">
        <f>IFERROR(IF(AND(D104&lt;&gt;"",E104&lt;&gt;""),E104/D104,""),"")</f>
        <v/>
      </c>
      <c r="G104" s="40" t="inlineStr"/>
      <c r="H104" s="40" t="inlineStr"/>
      <c r="I104" s="40" t="inlineStr"/>
    </row>
    <row r="105" ht="22" customHeight="1">
      <c r="A105" s="43" t="n">
        <v>46124</v>
      </c>
      <c r="B105" s="44" t="inlineStr">
        <is>
          <t>Sunday</t>
        </is>
      </c>
      <c r="C105" s="41" t="n">
        <v>0</v>
      </c>
      <c r="D105" s="44" t="inlineStr"/>
      <c r="E105" s="44" t="inlineStr"/>
      <c r="F105" s="44">
        <f>IFERROR(IF(AND(D105&lt;&gt;"",E105&lt;&gt;""),E105/D105,""),"")</f>
        <v/>
      </c>
      <c r="G105" s="44" t="inlineStr"/>
      <c r="H105" s="44" t="inlineStr"/>
      <c r="I105" s="44" t="inlineStr"/>
    </row>
    <row r="106" ht="22" customHeight="1">
      <c r="A106" s="39" t="n">
        <v>46125</v>
      </c>
      <c r="B106" s="40" t="inlineStr">
        <is>
          <t>Monday</t>
        </is>
      </c>
      <c r="C106" s="41" t="n">
        <v>0</v>
      </c>
      <c r="D106" s="40" t="inlineStr"/>
      <c r="E106" s="40" t="inlineStr"/>
      <c r="F106" s="40">
        <f>IFERROR(IF(AND(D106&lt;&gt;"",E106&lt;&gt;""),E106/D106,""),"")</f>
        <v/>
      </c>
      <c r="G106" s="40" t="inlineStr"/>
      <c r="H106" s="40" t="inlineStr"/>
      <c r="I106" s="40" t="inlineStr"/>
    </row>
    <row r="107" ht="22" customHeight="1">
      <c r="A107" s="43" t="n">
        <v>46126</v>
      </c>
      <c r="B107" s="44" t="inlineStr">
        <is>
          <t>Tuesday</t>
        </is>
      </c>
      <c r="C107" s="41" t="n">
        <v>0</v>
      </c>
      <c r="D107" s="44" t="inlineStr"/>
      <c r="E107" s="44" t="inlineStr"/>
      <c r="F107" s="44">
        <f>IFERROR(IF(AND(D107&lt;&gt;"",E107&lt;&gt;""),E107/D107,""),"")</f>
        <v/>
      </c>
      <c r="G107" s="44" t="inlineStr"/>
      <c r="H107" s="44" t="inlineStr"/>
      <c r="I107" s="44" t="inlineStr"/>
    </row>
    <row r="108" ht="22" customHeight="1">
      <c r="A108" s="39" t="n">
        <v>46127</v>
      </c>
      <c r="B108" s="40" t="inlineStr">
        <is>
          <t>Wednesday</t>
        </is>
      </c>
      <c r="C108" s="41" t="n">
        <v>0</v>
      </c>
      <c r="D108" s="40" t="inlineStr"/>
      <c r="E108" s="40" t="inlineStr"/>
      <c r="F108" s="40">
        <f>IFERROR(IF(AND(D108&lt;&gt;"",E108&lt;&gt;""),E108/D108,""),"")</f>
        <v/>
      </c>
      <c r="G108" s="40" t="inlineStr"/>
      <c r="H108" s="40" t="inlineStr"/>
      <c r="I108" s="40" t="inlineStr"/>
    </row>
    <row r="109" ht="22" customHeight="1">
      <c r="A109" s="43" t="n">
        <v>46128</v>
      </c>
      <c r="B109" s="44" t="inlineStr">
        <is>
          <t>Thursday</t>
        </is>
      </c>
      <c r="C109" s="41" t="n">
        <v>0</v>
      </c>
      <c r="D109" s="44" t="inlineStr"/>
      <c r="E109" s="44" t="inlineStr"/>
      <c r="F109" s="44">
        <f>IFERROR(IF(AND(D109&lt;&gt;"",E109&lt;&gt;""),E109/D109,""),"")</f>
        <v/>
      </c>
      <c r="G109" s="44" t="inlineStr"/>
      <c r="H109" s="44" t="inlineStr"/>
      <c r="I109" s="44" t="inlineStr"/>
    </row>
    <row r="110" ht="22" customHeight="1">
      <c r="A110" s="39" t="n">
        <v>46129</v>
      </c>
      <c r="B110" s="40" t="inlineStr">
        <is>
          <t>Friday</t>
        </is>
      </c>
      <c r="C110" s="41" t="n">
        <v>0</v>
      </c>
      <c r="D110" s="40" t="inlineStr"/>
      <c r="E110" s="40" t="inlineStr"/>
      <c r="F110" s="40">
        <f>IFERROR(IF(AND(D110&lt;&gt;"",E110&lt;&gt;""),E110/D110,""),"")</f>
        <v/>
      </c>
      <c r="G110" s="40" t="inlineStr"/>
      <c r="H110" s="40" t="inlineStr"/>
      <c r="I110" s="40" t="inlineStr"/>
    </row>
    <row r="111" ht="22" customHeight="1">
      <c r="A111" s="43" t="n">
        <v>46130</v>
      </c>
      <c r="B111" s="44" t="inlineStr">
        <is>
          <t>Saturday</t>
        </is>
      </c>
      <c r="C111" s="41" t="n">
        <v>0</v>
      </c>
      <c r="D111" s="44" t="inlineStr"/>
      <c r="E111" s="44" t="inlineStr"/>
      <c r="F111" s="44">
        <f>IFERROR(IF(AND(D111&lt;&gt;"",E111&lt;&gt;""),E111/D111,""),"")</f>
        <v/>
      </c>
      <c r="G111" s="44" t="inlineStr"/>
      <c r="H111" s="44" t="inlineStr"/>
      <c r="I111" s="44" t="inlineStr"/>
    </row>
    <row r="112" ht="22" customHeight="1">
      <c r="A112" s="39" t="n">
        <v>46131</v>
      </c>
      <c r="B112" s="40" t="inlineStr">
        <is>
          <t>Sunday</t>
        </is>
      </c>
      <c r="C112" s="41" t="n">
        <v>0</v>
      </c>
      <c r="D112" s="40" t="inlineStr"/>
      <c r="E112" s="40" t="inlineStr"/>
      <c r="F112" s="40">
        <f>IFERROR(IF(AND(D112&lt;&gt;"",E112&lt;&gt;""),E112/D112,""),"")</f>
        <v/>
      </c>
      <c r="G112" s="40" t="inlineStr"/>
      <c r="H112" s="40" t="inlineStr"/>
      <c r="I112" s="40" t="inlineStr"/>
    </row>
    <row r="113" ht="22" customHeight="1">
      <c r="A113" s="43" t="n">
        <v>46132</v>
      </c>
      <c r="B113" s="44" t="inlineStr">
        <is>
          <t>Monday</t>
        </is>
      </c>
      <c r="C113" s="41" t="n">
        <v>0</v>
      </c>
      <c r="D113" s="44" t="inlineStr"/>
      <c r="E113" s="44" t="inlineStr"/>
      <c r="F113" s="44">
        <f>IFERROR(IF(AND(D113&lt;&gt;"",E113&lt;&gt;""),E113/D113,""),"")</f>
        <v/>
      </c>
      <c r="G113" s="44" t="inlineStr"/>
      <c r="H113" s="44" t="inlineStr"/>
      <c r="I113" s="44" t="inlineStr"/>
    </row>
    <row r="114" ht="22" customHeight="1">
      <c r="A114" s="39" t="n">
        <v>46133</v>
      </c>
      <c r="B114" s="40" t="inlineStr">
        <is>
          <t>Tuesday</t>
        </is>
      </c>
      <c r="C114" s="41" t="n">
        <v>0</v>
      </c>
      <c r="D114" s="40" t="inlineStr"/>
      <c r="E114" s="40" t="inlineStr"/>
      <c r="F114" s="40">
        <f>IFERROR(IF(AND(D114&lt;&gt;"",E114&lt;&gt;""),E114/D114,""),"")</f>
        <v/>
      </c>
      <c r="G114" s="40" t="inlineStr"/>
      <c r="H114" s="40" t="inlineStr"/>
      <c r="I114" s="40" t="inlineStr"/>
    </row>
    <row r="115" ht="22" customHeight="1">
      <c r="A115" s="43" t="n">
        <v>46134</v>
      </c>
      <c r="B115" s="44" t="inlineStr">
        <is>
          <t>Wednesday</t>
        </is>
      </c>
      <c r="C115" s="41" t="n">
        <v>0</v>
      </c>
      <c r="D115" s="44" t="inlineStr"/>
      <c r="E115" s="44" t="inlineStr"/>
      <c r="F115" s="44">
        <f>IFERROR(IF(AND(D115&lt;&gt;"",E115&lt;&gt;""),E115/D115,""),"")</f>
        <v/>
      </c>
      <c r="G115" s="44" t="inlineStr"/>
      <c r="H115" s="44" t="inlineStr"/>
      <c r="I115" s="44" t="inlineStr"/>
    </row>
    <row r="116" ht="22" customHeight="1">
      <c r="A116" s="39" t="n">
        <v>46135</v>
      </c>
      <c r="B116" s="40" t="inlineStr">
        <is>
          <t>Thursday</t>
        </is>
      </c>
      <c r="C116" s="41" t="n">
        <v>0</v>
      </c>
      <c r="D116" s="40" t="inlineStr"/>
      <c r="E116" s="40" t="inlineStr"/>
      <c r="F116" s="40">
        <f>IFERROR(IF(AND(D116&lt;&gt;"",E116&lt;&gt;""),E116/D116,""),"")</f>
        <v/>
      </c>
      <c r="G116" s="40" t="inlineStr"/>
      <c r="H116" s="40" t="inlineStr"/>
      <c r="I116" s="40" t="inlineStr"/>
    </row>
    <row r="117" ht="22" customHeight="1">
      <c r="A117" s="43" t="n">
        <v>46136</v>
      </c>
      <c r="B117" s="44" t="inlineStr">
        <is>
          <t>Friday</t>
        </is>
      </c>
      <c r="C117" s="41" t="n">
        <v>0</v>
      </c>
      <c r="D117" s="44" t="inlineStr"/>
      <c r="E117" s="44" t="inlineStr"/>
      <c r="F117" s="44">
        <f>IFERROR(IF(AND(D117&lt;&gt;"",E117&lt;&gt;""),E117/D117,""),"")</f>
        <v/>
      </c>
      <c r="G117" s="44" t="inlineStr"/>
      <c r="H117" s="44" t="inlineStr"/>
      <c r="I117" s="44" t="inlineStr"/>
    </row>
    <row r="118" ht="22" customHeight="1">
      <c r="A118" s="39" t="n">
        <v>46137</v>
      </c>
      <c r="B118" s="40" t="inlineStr">
        <is>
          <t>Saturday</t>
        </is>
      </c>
      <c r="C118" s="41" t="n">
        <v>0</v>
      </c>
      <c r="D118" s="40" t="inlineStr"/>
      <c r="E118" s="40" t="inlineStr"/>
      <c r="F118" s="40">
        <f>IFERROR(IF(AND(D118&lt;&gt;"",E118&lt;&gt;""),E118/D118,""),"")</f>
        <v/>
      </c>
      <c r="G118" s="40" t="inlineStr"/>
      <c r="H118" s="40" t="inlineStr"/>
      <c r="I118" s="40" t="inlineStr"/>
    </row>
    <row r="119" ht="22" customHeight="1">
      <c r="A119" s="43" t="n">
        <v>46138</v>
      </c>
      <c r="B119" s="44" t="inlineStr">
        <is>
          <t>Sunday</t>
        </is>
      </c>
      <c r="C119" s="41" t="n">
        <v>0</v>
      </c>
      <c r="D119" s="44" t="inlineStr"/>
      <c r="E119" s="44" t="inlineStr"/>
      <c r="F119" s="44">
        <f>IFERROR(IF(AND(D119&lt;&gt;"",E119&lt;&gt;""),E119/D119,""),"")</f>
        <v/>
      </c>
      <c r="G119" s="44" t="inlineStr"/>
      <c r="H119" s="44" t="inlineStr"/>
      <c r="I119" s="44" t="inlineStr"/>
    </row>
    <row r="120" ht="22" customHeight="1">
      <c r="A120" s="39" t="n">
        <v>46139</v>
      </c>
      <c r="B120" s="40" t="inlineStr">
        <is>
          <t>Monday</t>
        </is>
      </c>
      <c r="C120" s="41" t="n">
        <v>0</v>
      </c>
      <c r="D120" s="40" t="inlineStr"/>
      <c r="E120" s="40" t="inlineStr"/>
      <c r="F120" s="40">
        <f>IFERROR(IF(AND(D120&lt;&gt;"",E120&lt;&gt;""),E120/D120,""),"")</f>
        <v/>
      </c>
      <c r="G120" s="40" t="inlineStr"/>
      <c r="H120" s="40" t="inlineStr"/>
      <c r="I120" s="40" t="inlineStr"/>
    </row>
    <row r="121" ht="22" customHeight="1">
      <c r="A121" s="43" t="n">
        <v>46140</v>
      </c>
      <c r="B121" s="44" t="inlineStr">
        <is>
          <t>Tuesday</t>
        </is>
      </c>
      <c r="C121" s="41" t="n">
        <v>0</v>
      </c>
      <c r="D121" s="44" t="inlineStr"/>
      <c r="E121" s="44" t="inlineStr"/>
      <c r="F121" s="44">
        <f>IFERROR(IF(AND(D121&lt;&gt;"",E121&lt;&gt;""),E121/D121,""),"")</f>
        <v/>
      </c>
      <c r="G121" s="44" t="inlineStr"/>
      <c r="H121" s="44" t="inlineStr"/>
      <c r="I121" s="44" t="inlineStr"/>
    </row>
    <row r="122" ht="22" customHeight="1">
      <c r="A122" s="39" t="n">
        <v>46141</v>
      </c>
      <c r="B122" s="40" t="inlineStr">
        <is>
          <t>Wednesday</t>
        </is>
      </c>
      <c r="C122" s="41" t="n">
        <v>0</v>
      </c>
      <c r="D122" s="40" t="inlineStr"/>
      <c r="E122" s="40" t="inlineStr"/>
      <c r="F122" s="40">
        <f>IFERROR(IF(AND(D122&lt;&gt;"",E122&lt;&gt;""),E122/D122,""),"")</f>
        <v/>
      </c>
      <c r="G122" s="40" t="inlineStr"/>
      <c r="H122" s="40" t="inlineStr"/>
      <c r="I122" s="40" t="inlineStr"/>
    </row>
    <row r="123" ht="22" customHeight="1">
      <c r="A123" s="43" t="n">
        <v>46142</v>
      </c>
      <c r="B123" s="44" t="inlineStr">
        <is>
          <t>Thursday</t>
        </is>
      </c>
      <c r="C123" s="41" t="n">
        <v>0</v>
      </c>
      <c r="D123" s="44" t="inlineStr"/>
      <c r="E123" s="44" t="inlineStr"/>
      <c r="F123" s="44">
        <f>IFERROR(IF(AND(D123&lt;&gt;"",E123&lt;&gt;""),E123/D123,""),"")</f>
        <v/>
      </c>
      <c r="G123" s="44" t="inlineStr"/>
      <c r="H123" s="44" t="inlineStr"/>
      <c r="I123" s="44" t="inlineStr"/>
    </row>
    <row r="124" ht="22" customHeight="1">
      <c r="A124" s="39" t="n">
        <v>46143</v>
      </c>
      <c r="B124" s="40" t="inlineStr">
        <is>
          <t>Friday</t>
        </is>
      </c>
      <c r="C124" s="41" t="n">
        <v>0</v>
      </c>
      <c r="D124" s="40" t="inlineStr"/>
      <c r="E124" s="40" t="inlineStr"/>
      <c r="F124" s="40">
        <f>IFERROR(IF(AND(D124&lt;&gt;"",E124&lt;&gt;""),E124/D124,""),"")</f>
        <v/>
      </c>
      <c r="G124" s="40" t="inlineStr"/>
      <c r="H124" s="40" t="inlineStr"/>
      <c r="I124" s="40" t="inlineStr"/>
    </row>
    <row r="125" ht="22" customHeight="1">
      <c r="A125" s="43" t="n">
        <v>46144</v>
      </c>
      <c r="B125" s="44" t="inlineStr">
        <is>
          <t>Saturday</t>
        </is>
      </c>
      <c r="C125" s="41" t="n">
        <v>0</v>
      </c>
      <c r="D125" s="44" t="inlineStr"/>
      <c r="E125" s="44" t="inlineStr"/>
      <c r="F125" s="44">
        <f>IFERROR(IF(AND(D125&lt;&gt;"",E125&lt;&gt;""),E125/D125,""),"")</f>
        <v/>
      </c>
      <c r="G125" s="44" t="inlineStr"/>
      <c r="H125" s="44" t="inlineStr"/>
      <c r="I125" s="44" t="inlineStr"/>
    </row>
    <row r="126" ht="22" customHeight="1">
      <c r="A126" s="39" t="n">
        <v>46145</v>
      </c>
      <c r="B126" s="40" t="inlineStr">
        <is>
          <t>Sunday</t>
        </is>
      </c>
      <c r="C126" s="41" t="n">
        <v>0</v>
      </c>
      <c r="D126" s="40" t="inlineStr"/>
      <c r="E126" s="40" t="inlineStr"/>
      <c r="F126" s="40">
        <f>IFERROR(IF(AND(D126&lt;&gt;"",E126&lt;&gt;""),E126/D126,""),"")</f>
        <v/>
      </c>
      <c r="G126" s="40" t="inlineStr"/>
      <c r="H126" s="40" t="inlineStr"/>
      <c r="I126" s="40" t="inlineStr"/>
    </row>
    <row r="127" ht="22" customHeight="1">
      <c r="A127" s="43" t="n">
        <v>46146</v>
      </c>
      <c r="B127" s="44" t="inlineStr">
        <is>
          <t>Monday</t>
        </is>
      </c>
      <c r="C127" s="41" t="n">
        <v>0</v>
      </c>
      <c r="D127" s="44" t="inlineStr"/>
      <c r="E127" s="44" t="inlineStr"/>
      <c r="F127" s="44">
        <f>IFERROR(IF(AND(D127&lt;&gt;"",E127&lt;&gt;""),E127/D127,""),"")</f>
        <v/>
      </c>
      <c r="G127" s="44" t="inlineStr"/>
      <c r="H127" s="44" t="inlineStr"/>
      <c r="I127" s="44" t="inlineStr"/>
    </row>
    <row r="128" ht="22" customHeight="1">
      <c r="A128" s="39" t="n">
        <v>46147</v>
      </c>
      <c r="B128" s="40" t="inlineStr">
        <is>
          <t>Tuesday</t>
        </is>
      </c>
      <c r="C128" s="41" t="n">
        <v>0</v>
      </c>
      <c r="D128" s="40" t="inlineStr"/>
      <c r="E128" s="40" t="inlineStr"/>
      <c r="F128" s="40">
        <f>IFERROR(IF(AND(D128&lt;&gt;"",E128&lt;&gt;""),E128/D128,""),"")</f>
        <v/>
      </c>
      <c r="G128" s="40" t="inlineStr"/>
      <c r="H128" s="40" t="inlineStr"/>
      <c r="I128" s="40" t="inlineStr"/>
    </row>
    <row r="129" ht="22" customHeight="1">
      <c r="A129" s="43" t="n">
        <v>46148</v>
      </c>
      <c r="B129" s="44" t="inlineStr">
        <is>
          <t>Wednesday</t>
        </is>
      </c>
      <c r="C129" s="41" t="n">
        <v>0</v>
      </c>
      <c r="D129" s="44" t="inlineStr"/>
      <c r="E129" s="44" t="inlineStr"/>
      <c r="F129" s="44">
        <f>IFERROR(IF(AND(D129&lt;&gt;"",E129&lt;&gt;""),E129/D129,""),"")</f>
        <v/>
      </c>
      <c r="G129" s="44" t="inlineStr"/>
      <c r="H129" s="44" t="inlineStr"/>
      <c r="I129" s="44" t="inlineStr"/>
    </row>
    <row r="130" ht="22" customHeight="1">
      <c r="A130" s="39" t="n">
        <v>46149</v>
      </c>
      <c r="B130" s="40" t="inlineStr">
        <is>
          <t>Thursday</t>
        </is>
      </c>
      <c r="C130" s="41" t="n">
        <v>0</v>
      </c>
      <c r="D130" s="40" t="inlineStr"/>
      <c r="E130" s="40" t="inlineStr"/>
      <c r="F130" s="40">
        <f>IFERROR(IF(AND(D130&lt;&gt;"",E130&lt;&gt;""),E130/D130,""),"")</f>
        <v/>
      </c>
      <c r="G130" s="40" t="inlineStr"/>
      <c r="H130" s="40" t="inlineStr"/>
      <c r="I130" s="40" t="inlineStr"/>
    </row>
    <row r="131" ht="22" customHeight="1">
      <c r="A131" s="43" t="n">
        <v>46150</v>
      </c>
      <c r="B131" s="44" t="inlineStr">
        <is>
          <t>Friday</t>
        </is>
      </c>
      <c r="C131" s="41" t="n">
        <v>0</v>
      </c>
      <c r="D131" s="44" t="inlineStr"/>
      <c r="E131" s="44" t="inlineStr"/>
      <c r="F131" s="44">
        <f>IFERROR(IF(AND(D131&lt;&gt;"",E131&lt;&gt;""),E131/D131,""),"")</f>
        <v/>
      </c>
      <c r="G131" s="44" t="inlineStr"/>
      <c r="H131" s="44" t="inlineStr"/>
      <c r="I131" s="44" t="inlineStr"/>
    </row>
    <row r="132" ht="22" customHeight="1">
      <c r="A132" s="39" t="n">
        <v>46151</v>
      </c>
      <c r="B132" s="40" t="inlineStr">
        <is>
          <t>Saturday</t>
        </is>
      </c>
      <c r="C132" s="41" t="n">
        <v>0</v>
      </c>
      <c r="D132" s="40" t="inlineStr"/>
      <c r="E132" s="40" t="inlineStr"/>
      <c r="F132" s="40">
        <f>IFERROR(IF(AND(D132&lt;&gt;"",E132&lt;&gt;""),E132/D132,""),"")</f>
        <v/>
      </c>
      <c r="G132" s="40" t="inlineStr"/>
      <c r="H132" s="40" t="inlineStr"/>
      <c r="I132" s="40" t="inlineStr"/>
    </row>
    <row r="133" ht="22" customHeight="1">
      <c r="A133" s="43" t="n">
        <v>46152</v>
      </c>
      <c r="B133" s="44" t="inlineStr">
        <is>
          <t>Sunday</t>
        </is>
      </c>
      <c r="C133" s="41" t="n">
        <v>0</v>
      </c>
      <c r="D133" s="44" t="inlineStr"/>
      <c r="E133" s="44" t="inlineStr"/>
      <c r="F133" s="44">
        <f>IFERROR(IF(AND(D133&lt;&gt;"",E133&lt;&gt;""),E133/D133,""),"")</f>
        <v/>
      </c>
      <c r="G133" s="44" t="inlineStr"/>
      <c r="H133" s="44" t="inlineStr"/>
      <c r="I133" s="44" t="inlineStr"/>
    </row>
    <row r="134" ht="22" customHeight="1">
      <c r="A134" s="39" t="n">
        <v>46153</v>
      </c>
      <c r="B134" s="40" t="inlineStr">
        <is>
          <t>Monday</t>
        </is>
      </c>
      <c r="C134" s="41" t="n">
        <v>0</v>
      </c>
      <c r="D134" s="40" t="inlineStr"/>
      <c r="E134" s="40" t="inlineStr"/>
      <c r="F134" s="40">
        <f>IFERROR(IF(AND(D134&lt;&gt;"",E134&lt;&gt;""),E134/D134,""),"")</f>
        <v/>
      </c>
      <c r="G134" s="40" t="inlineStr"/>
      <c r="H134" s="40" t="inlineStr"/>
      <c r="I134" s="40" t="inlineStr"/>
    </row>
    <row r="135" ht="22" customHeight="1">
      <c r="A135" s="43" t="n">
        <v>46154</v>
      </c>
      <c r="B135" s="44" t="inlineStr">
        <is>
          <t>Tuesday</t>
        </is>
      </c>
      <c r="C135" s="41" t="n">
        <v>0</v>
      </c>
      <c r="D135" s="44" t="inlineStr"/>
      <c r="E135" s="44" t="inlineStr"/>
      <c r="F135" s="44">
        <f>IFERROR(IF(AND(D135&lt;&gt;"",E135&lt;&gt;""),E135/D135,""),"")</f>
        <v/>
      </c>
      <c r="G135" s="44" t="inlineStr"/>
      <c r="H135" s="44" t="inlineStr"/>
      <c r="I135" s="44" t="inlineStr"/>
    </row>
    <row r="136" ht="22" customHeight="1">
      <c r="A136" s="39" t="n">
        <v>46155</v>
      </c>
      <c r="B136" s="40" t="inlineStr">
        <is>
          <t>Wednesday</t>
        </is>
      </c>
      <c r="C136" s="41" t="n">
        <v>0</v>
      </c>
      <c r="D136" s="40" t="inlineStr"/>
      <c r="E136" s="40" t="inlineStr"/>
      <c r="F136" s="40">
        <f>IFERROR(IF(AND(D136&lt;&gt;"",E136&lt;&gt;""),E136/D136,""),"")</f>
        <v/>
      </c>
      <c r="G136" s="40" t="inlineStr"/>
      <c r="H136" s="40" t="inlineStr"/>
      <c r="I136" s="40" t="inlineStr"/>
    </row>
    <row r="137" ht="22" customHeight="1">
      <c r="A137" s="43" t="n">
        <v>46156</v>
      </c>
      <c r="B137" s="44" t="inlineStr">
        <is>
          <t>Thursday</t>
        </is>
      </c>
      <c r="C137" s="41" t="n">
        <v>0</v>
      </c>
      <c r="D137" s="44" t="inlineStr"/>
      <c r="E137" s="44" t="inlineStr"/>
      <c r="F137" s="44">
        <f>IFERROR(IF(AND(D137&lt;&gt;"",E137&lt;&gt;""),E137/D137,""),"")</f>
        <v/>
      </c>
      <c r="G137" s="44" t="inlineStr"/>
      <c r="H137" s="44" t="inlineStr"/>
      <c r="I137" s="44" t="inlineStr"/>
    </row>
    <row r="138" ht="22" customHeight="1">
      <c r="A138" s="39" t="n">
        <v>46157</v>
      </c>
      <c r="B138" s="40" t="inlineStr">
        <is>
          <t>Friday</t>
        </is>
      </c>
      <c r="C138" s="41" t="n">
        <v>0</v>
      </c>
      <c r="D138" s="40" t="inlineStr"/>
      <c r="E138" s="40" t="inlineStr"/>
      <c r="F138" s="40">
        <f>IFERROR(IF(AND(D138&lt;&gt;"",E138&lt;&gt;""),E138/D138,""),"")</f>
        <v/>
      </c>
      <c r="G138" s="40" t="inlineStr"/>
      <c r="H138" s="40" t="inlineStr"/>
      <c r="I138" s="40" t="inlineStr"/>
    </row>
    <row r="139" ht="22" customHeight="1">
      <c r="A139" s="43" t="n">
        <v>46158</v>
      </c>
      <c r="B139" s="44" t="inlineStr">
        <is>
          <t>Saturday</t>
        </is>
      </c>
      <c r="C139" s="41" t="n">
        <v>0</v>
      </c>
      <c r="D139" s="44" t="inlineStr"/>
      <c r="E139" s="44" t="inlineStr"/>
      <c r="F139" s="44">
        <f>IFERROR(IF(AND(D139&lt;&gt;"",E139&lt;&gt;""),E139/D139,""),"")</f>
        <v/>
      </c>
      <c r="G139" s="44" t="inlineStr"/>
      <c r="H139" s="44" t="inlineStr"/>
      <c r="I139" s="44" t="inlineStr"/>
    </row>
    <row r="140" ht="22" customHeight="1">
      <c r="A140" s="39" t="n">
        <v>46159</v>
      </c>
      <c r="B140" s="40" t="inlineStr">
        <is>
          <t>Sunday</t>
        </is>
      </c>
      <c r="C140" s="41" t="n">
        <v>0</v>
      </c>
      <c r="D140" s="40" t="inlineStr"/>
      <c r="E140" s="40" t="inlineStr"/>
      <c r="F140" s="40">
        <f>IFERROR(IF(AND(D140&lt;&gt;"",E140&lt;&gt;""),E140/D140,""),"")</f>
        <v/>
      </c>
      <c r="G140" s="40" t="inlineStr"/>
      <c r="H140" s="40" t="inlineStr"/>
      <c r="I140" s="40" t="inlineStr"/>
    </row>
    <row r="141" ht="22" customHeight="1">
      <c r="A141" s="43" t="n">
        <v>46160</v>
      </c>
      <c r="B141" s="44" t="inlineStr">
        <is>
          <t>Monday</t>
        </is>
      </c>
      <c r="C141" s="41" t="n">
        <v>0</v>
      </c>
      <c r="D141" s="44" t="inlineStr"/>
      <c r="E141" s="44" t="inlineStr"/>
      <c r="F141" s="44">
        <f>IFERROR(IF(AND(D141&lt;&gt;"",E141&lt;&gt;""),E141/D141,""),"")</f>
        <v/>
      </c>
      <c r="G141" s="44" t="inlineStr"/>
      <c r="H141" s="44" t="inlineStr"/>
      <c r="I141" s="44" t="inlineStr"/>
    </row>
    <row r="142" ht="22" customHeight="1">
      <c r="A142" s="39" t="n">
        <v>46161</v>
      </c>
      <c r="B142" s="40" t="inlineStr">
        <is>
          <t>Tuesday</t>
        </is>
      </c>
      <c r="C142" s="41" t="n">
        <v>0</v>
      </c>
      <c r="D142" s="40" t="inlineStr"/>
      <c r="E142" s="40" t="inlineStr"/>
      <c r="F142" s="40">
        <f>IFERROR(IF(AND(D142&lt;&gt;"",E142&lt;&gt;""),E142/D142,""),"")</f>
        <v/>
      </c>
      <c r="G142" s="40" t="inlineStr"/>
      <c r="H142" s="40" t="inlineStr"/>
      <c r="I142" s="40" t="inlineStr"/>
    </row>
    <row r="143" ht="22" customHeight="1">
      <c r="A143" s="43" t="n">
        <v>46162</v>
      </c>
      <c r="B143" s="44" t="inlineStr">
        <is>
          <t>Wednesday</t>
        </is>
      </c>
      <c r="C143" s="41" t="n">
        <v>0</v>
      </c>
      <c r="D143" s="44" t="inlineStr"/>
      <c r="E143" s="44" t="inlineStr"/>
      <c r="F143" s="44">
        <f>IFERROR(IF(AND(D143&lt;&gt;"",E143&lt;&gt;""),E143/D143,""),"")</f>
        <v/>
      </c>
      <c r="G143" s="44" t="inlineStr"/>
      <c r="H143" s="44" t="inlineStr"/>
      <c r="I143" s="44" t="inlineStr"/>
    </row>
    <row r="144" ht="22" customHeight="1">
      <c r="A144" s="39" t="n">
        <v>46163</v>
      </c>
      <c r="B144" s="40" t="inlineStr">
        <is>
          <t>Thursday</t>
        </is>
      </c>
      <c r="C144" s="41" t="n">
        <v>0</v>
      </c>
      <c r="D144" s="40" t="inlineStr"/>
      <c r="E144" s="40" t="inlineStr"/>
      <c r="F144" s="40">
        <f>IFERROR(IF(AND(D144&lt;&gt;"",E144&lt;&gt;""),E144/D144,""),"")</f>
        <v/>
      </c>
      <c r="G144" s="40" t="inlineStr"/>
      <c r="H144" s="40" t="inlineStr"/>
      <c r="I144" s="40" t="inlineStr"/>
    </row>
    <row r="145" ht="22" customHeight="1">
      <c r="A145" s="43" t="n">
        <v>46164</v>
      </c>
      <c r="B145" s="44" t="inlineStr">
        <is>
          <t>Friday</t>
        </is>
      </c>
      <c r="C145" s="41" t="n">
        <v>0</v>
      </c>
      <c r="D145" s="44" t="inlineStr"/>
      <c r="E145" s="44" t="inlineStr"/>
      <c r="F145" s="44">
        <f>IFERROR(IF(AND(D145&lt;&gt;"",E145&lt;&gt;""),E145/D145,""),"")</f>
        <v/>
      </c>
      <c r="G145" s="44" t="inlineStr"/>
      <c r="H145" s="44" t="inlineStr"/>
      <c r="I145" s="44" t="inlineStr"/>
    </row>
    <row r="146" ht="22" customHeight="1">
      <c r="A146" s="39" t="n">
        <v>46165</v>
      </c>
      <c r="B146" s="40" t="inlineStr">
        <is>
          <t>Saturday</t>
        </is>
      </c>
      <c r="C146" s="41" t="n">
        <v>0</v>
      </c>
      <c r="D146" s="40" t="inlineStr"/>
      <c r="E146" s="40" t="inlineStr"/>
      <c r="F146" s="40">
        <f>IFERROR(IF(AND(D146&lt;&gt;"",E146&lt;&gt;""),E146/D146,""),"")</f>
        <v/>
      </c>
      <c r="G146" s="40" t="inlineStr"/>
      <c r="H146" s="40" t="inlineStr"/>
      <c r="I146" s="40" t="inlineStr"/>
    </row>
    <row r="147" ht="22" customHeight="1">
      <c r="A147" s="43" t="n">
        <v>46166</v>
      </c>
      <c r="B147" s="44" t="inlineStr">
        <is>
          <t>Sunday</t>
        </is>
      </c>
      <c r="C147" s="41" t="n">
        <v>0</v>
      </c>
      <c r="D147" s="44" t="inlineStr"/>
      <c r="E147" s="44" t="inlineStr"/>
      <c r="F147" s="44">
        <f>IFERROR(IF(AND(D147&lt;&gt;"",E147&lt;&gt;""),E147/D147,""),"")</f>
        <v/>
      </c>
      <c r="G147" s="44" t="inlineStr"/>
      <c r="H147" s="44" t="inlineStr"/>
      <c r="I147" s="44" t="inlineStr"/>
    </row>
    <row r="148" ht="22" customHeight="1">
      <c r="A148" s="39" t="n">
        <v>46167</v>
      </c>
      <c r="B148" s="40" t="inlineStr">
        <is>
          <t>Monday</t>
        </is>
      </c>
      <c r="C148" s="41" t="n">
        <v>0</v>
      </c>
      <c r="D148" s="40" t="inlineStr"/>
      <c r="E148" s="40" t="inlineStr"/>
      <c r="F148" s="40">
        <f>IFERROR(IF(AND(D148&lt;&gt;"",E148&lt;&gt;""),E148/D148,""),"")</f>
        <v/>
      </c>
      <c r="G148" s="40" t="inlineStr"/>
      <c r="H148" s="40" t="inlineStr"/>
      <c r="I148" s="40" t="inlineStr"/>
    </row>
    <row r="149" ht="22" customHeight="1">
      <c r="A149" s="43" t="n">
        <v>46168</v>
      </c>
      <c r="B149" s="44" t="inlineStr">
        <is>
          <t>Tuesday</t>
        </is>
      </c>
      <c r="C149" s="41" t="n">
        <v>0</v>
      </c>
      <c r="D149" s="44" t="inlineStr"/>
      <c r="E149" s="44" t="inlineStr"/>
      <c r="F149" s="44">
        <f>IFERROR(IF(AND(D149&lt;&gt;"",E149&lt;&gt;""),E149/D149,""),"")</f>
        <v/>
      </c>
      <c r="G149" s="44" t="inlineStr"/>
      <c r="H149" s="44" t="inlineStr"/>
      <c r="I149" s="44" t="inlineStr"/>
    </row>
    <row r="150" ht="22" customHeight="1">
      <c r="A150" s="39" t="n">
        <v>46169</v>
      </c>
      <c r="B150" s="40" t="inlineStr">
        <is>
          <t>Wednesday</t>
        </is>
      </c>
      <c r="C150" s="41" t="n">
        <v>0</v>
      </c>
      <c r="D150" s="40" t="inlineStr"/>
      <c r="E150" s="40" t="inlineStr"/>
      <c r="F150" s="40">
        <f>IFERROR(IF(AND(D150&lt;&gt;"",E150&lt;&gt;""),E150/D150,""),"")</f>
        <v/>
      </c>
      <c r="G150" s="40" t="inlineStr"/>
      <c r="H150" s="40" t="inlineStr"/>
      <c r="I150" s="40" t="inlineStr"/>
    </row>
    <row r="151" ht="22" customHeight="1">
      <c r="A151" s="43" t="n">
        <v>46170</v>
      </c>
      <c r="B151" s="44" t="inlineStr">
        <is>
          <t>Thursday</t>
        </is>
      </c>
      <c r="C151" s="41" t="n">
        <v>0</v>
      </c>
      <c r="D151" s="44" t="inlineStr"/>
      <c r="E151" s="44" t="inlineStr"/>
      <c r="F151" s="44">
        <f>IFERROR(IF(AND(D151&lt;&gt;"",E151&lt;&gt;""),E151/D151,""),"")</f>
        <v/>
      </c>
      <c r="G151" s="44" t="inlineStr"/>
      <c r="H151" s="44" t="inlineStr"/>
      <c r="I151" s="44" t="inlineStr"/>
    </row>
    <row r="152" ht="22" customHeight="1">
      <c r="A152" s="39" t="n">
        <v>46171</v>
      </c>
      <c r="B152" s="40" t="inlineStr">
        <is>
          <t>Friday</t>
        </is>
      </c>
      <c r="C152" s="41" t="n">
        <v>0</v>
      </c>
      <c r="D152" s="40" t="inlineStr"/>
      <c r="E152" s="40" t="inlineStr"/>
      <c r="F152" s="40">
        <f>IFERROR(IF(AND(D152&lt;&gt;"",E152&lt;&gt;""),E152/D152,""),"")</f>
        <v/>
      </c>
      <c r="G152" s="40" t="inlineStr"/>
      <c r="H152" s="40" t="inlineStr"/>
      <c r="I152" s="40" t="inlineStr"/>
    </row>
    <row r="153" ht="22" customHeight="1">
      <c r="A153" s="43" t="n">
        <v>46172</v>
      </c>
      <c r="B153" s="44" t="inlineStr">
        <is>
          <t>Saturday</t>
        </is>
      </c>
      <c r="C153" s="41" t="n">
        <v>0</v>
      </c>
      <c r="D153" s="44" t="inlineStr"/>
      <c r="E153" s="44" t="inlineStr"/>
      <c r="F153" s="44">
        <f>IFERROR(IF(AND(D153&lt;&gt;"",E153&lt;&gt;""),E153/D153,""),"")</f>
        <v/>
      </c>
      <c r="G153" s="44" t="inlineStr"/>
      <c r="H153" s="44" t="inlineStr"/>
      <c r="I153" s="44" t="inlineStr"/>
    </row>
    <row r="154" ht="22" customHeight="1">
      <c r="A154" s="39" t="n">
        <v>46173</v>
      </c>
      <c r="B154" s="40" t="inlineStr">
        <is>
          <t>Sunday</t>
        </is>
      </c>
      <c r="C154" s="41" t="n">
        <v>0</v>
      </c>
      <c r="D154" s="40" t="inlineStr"/>
      <c r="E154" s="40" t="inlineStr"/>
      <c r="F154" s="40">
        <f>IFERROR(IF(AND(D154&lt;&gt;"",E154&lt;&gt;""),E154/D154,""),"")</f>
        <v/>
      </c>
      <c r="G154" s="40" t="inlineStr"/>
      <c r="H154" s="40" t="inlineStr"/>
      <c r="I154" s="40" t="inlineStr"/>
    </row>
    <row r="155" ht="22" customHeight="1">
      <c r="A155" s="43" t="n">
        <v>46174</v>
      </c>
      <c r="B155" s="44" t="inlineStr">
        <is>
          <t>Monday</t>
        </is>
      </c>
      <c r="C155" s="41" t="n">
        <v>0</v>
      </c>
      <c r="D155" s="44" t="inlineStr"/>
      <c r="E155" s="44" t="inlineStr"/>
      <c r="F155" s="44">
        <f>IFERROR(IF(AND(D155&lt;&gt;"",E155&lt;&gt;""),E155/D155,""),"")</f>
        <v/>
      </c>
      <c r="G155" s="44" t="inlineStr"/>
      <c r="H155" s="44" t="inlineStr"/>
      <c r="I155" s="44" t="inlineStr"/>
    </row>
    <row r="156" ht="22" customHeight="1">
      <c r="A156" s="39" t="n">
        <v>46175</v>
      </c>
      <c r="B156" s="40" t="inlineStr">
        <is>
          <t>Tuesday</t>
        </is>
      </c>
      <c r="C156" s="41" t="n">
        <v>0</v>
      </c>
      <c r="D156" s="40" t="inlineStr"/>
      <c r="E156" s="40" t="inlineStr"/>
      <c r="F156" s="40">
        <f>IFERROR(IF(AND(D156&lt;&gt;"",E156&lt;&gt;""),E156/D156,""),"")</f>
        <v/>
      </c>
      <c r="G156" s="40" t="inlineStr"/>
      <c r="H156" s="40" t="inlineStr"/>
      <c r="I156" s="40" t="inlineStr"/>
    </row>
    <row r="157" ht="22" customHeight="1">
      <c r="A157" s="43" t="n">
        <v>46176</v>
      </c>
      <c r="B157" s="44" t="inlineStr">
        <is>
          <t>Wednesday</t>
        </is>
      </c>
      <c r="C157" s="41" t="n">
        <v>0</v>
      </c>
      <c r="D157" s="44" t="inlineStr"/>
      <c r="E157" s="44" t="inlineStr"/>
      <c r="F157" s="44">
        <f>IFERROR(IF(AND(D157&lt;&gt;"",E157&lt;&gt;""),E157/D157,""),"")</f>
        <v/>
      </c>
      <c r="G157" s="44" t="inlineStr"/>
      <c r="H157" s="44" t="inlineStr"/>
      <c r="I157" s="44" t="inlineStr"/>
    </row>
    <row r="158" ht="22" customHeight="1">
      <c r="A158" s="39" t="n">
        <v>46177</v>
      </c>
      <c r="B158" s="40" t="inlineStr">
        <is>
          <t>Thursday</t>
        </is>
      </c>
      <c r="C158" s="41" t="n">
        <v>0</v>
      </c>
      <c r="D158" s="40" t="inlineStr"/>
      <c r="E158" s="40" t="inlineStr"/>
      <c r="F158" s="40">
        <f>IFERROR(IF(AND(D158&lt;&gt;"",E158&lt;&gt;""),E158/D158,""),"")</f>
        <v/>
      </c>
      <c r="G158" s="40" t="inlineStr"/>
      <c r="H158" s="40" t="inlineStr"/>
      <c r="I158" s="40" t="inlineStr"/>
    </row>
    <row r="159" ht="22" customHeight="1">
      <c r="A159" s="43" t="n">
        <v>46178</v>
      </c>
      <c r="B159" s="44" t="inlineStr">
        <is>
          <t>Friday</t>
        </is>
      </c>
      <c r="C159" s="41" t="n">
        <v>0</v>
      </c>
      <c r="D159" s="44" t="inlineStr"/>
      <c r="E159" s="44" t="inlineStr"/>
      <c r="F159" s="44">
        <f>IFERROR(IF(AND(D159&lt;&gt;"",E159&lt;&gt;""),E159/D159,""),"")</f>
        <v/>
      </c>
      <c r="G159" s="44" t="inlineStr"/>
      <c r="H159" s="44" t="inlineStr"/>
      <c r="I159" s="44" t="inlineStr"/>
    </row>
    <row r="160" ht="22" customHeight="1">
      <c r="A160" s="39" t="n">
        <v>46179</v>
      </c>
      <c r="B160" s="40" t="inlineStr">
        <is>
          <t>Saturday</t>
        </is>
      </c>
      <c r="C160" s="41" t="n">
        <v>0</v>
      </c>
      <c r="D160" s="40" t="inlineStr"/>
      <c r="E160" s="40" t="inlineStr"/>
      <c r="F160" s="40">
        <f>IFERROR(IF(AND(D160&lt;&gt;"",E160&lt;&gt;""),E160/D160,""),"")</f>
        <v/>
      </c>
      <c r="G160" s="40" t="inlineStr"/>
      <c r="H160" s="40" t="inlineStr"/>
      <c r="I160" s="40" t="inlineStr"/>
    </row>
    <row r="161" ht="22" customHeight="1">
      <c r="A161" s="43" t="n">
        <v>46180</v>
      </c>
      <c r="B161" s="44" t="inlineStr">
        <is>
          <t>Sunday</t>
        </is>
      </c>
      <c r="C161" s="41" t="n">
        <v>0</v>
      </c>
      <c r="D161" s="44" t="inlineStr"/>
      <c r="E161" s="44" t="inlineStr"/>
      <c r="F161" s="44">
        <f>IFERROR(IF(AND(D161&lt;&gt;"",E161&lt;&gt;""),E161/D161,""),"")</f>
        <v/>
      </c>
      <c r="G161" s="44" t="inlineStr"/>
      <c r="H161" s="44" t="inlineStr"/>
      <c r="I161" s="44" t="inlineStr"/>
    </row>
    <row r="162" ht="22" customHeight="1">
      <c r="A162" s="39" t="n">
        <v>46181</v>
      </c>
      <c r="B162" s="40" t="inlineStr">
        <is>
          <t>Monday</t>
        </is>
      </c>
      <c r="C162" s="41" t="n">
        <v>0</v>
      </c>
      <c r="D162" s="40" t="inlineStr"/>
      <c r="E162" s="40" t="inlineStr"/>
      <c r="F162" s="40">
        <f>IFERROR(IF(AND(D162&lt;&gt;"",E162&lt;&gt;""),E162/D162,""),"")</f>
        <v/>
      </c>
      <c r="G162" s="40" t="inlineStr"/>
      <c r="H162" s="40" t="inlineStr"/>
      <c r="I162" s="40" t="inlineStr"/>
    </row>
    <row r="163" ht="22" customHeight="1">
      <c r="A163" s="43" t="n">
        <v>46182</v>
      </c>
      <c r="B163" s="44" t="inlineStr">
        <is>
          <t>Tuesday</t>
        </is>
      </c>
      <c r="C163" s="41" t="n">
        <v>0</v>
      </c>
      <c r="D163" s="44" t="inlineStr"/>
      <c r="E163" s="44" t="inlineStr"/>
      <c r="F163" s="44">
        <f>IFERROR(IF(AND(D163&lt;&gt;"",E163&lt;&gt;""),E163/D163,""),"")</f>
        <v/>
      </c>
      <c r="G163" s="44" t="inlineStr"/>
      <c r="H163" s="44" t="inlineStr"/>
      <c r="I163" s="44" t="inlineStr"/>
    </row>
    <row r="164" ht="22" customHeight="1">
      <c r="A164" s="39" t="n">
        <v>46183</v>
      </c>
      <c r="B164" s="40" t="inlineStr">
        <is>
          <t>Wednesday</t>
        </is>
      </c>
      <c r="C164" s="41" t="n">
        <v>0</v>
      </c>
      <c r="D164" s="40" t="inlineStr"/>
      <c r="E164" s="40" t="inlineStr"/>
      <c r="F164" s="40">
        <f>IFERROR(IF(AND(D164&lt;&gt;"",E164&lt;&gt;""),E164/D164,""),"")</f>
        <v/>
      </c>
      <c r="G164" s="40" t="inlineStr"/>
      <c r="H164" s="40" t="inlineStr"/>
      <c r="I164" s="40" t="inlineStr"/>
    </row>
    <row r="165" ht="22" customHeight="1">
      <c r="A165" s="43" t="n">
        <v>46184</v>
      </c>
      <c r="B165" s="44" t="inlineStr">
        <is>
          <t>Thursday</t>
        </is>
      </c>
      <c r="C165" s="41" t="n">
        <v>0</v>
      </c>
      <c r="D165" s="44" t="inlineStr"/>
      <c r="E165" s="44" t="inlineStr"/>
      <c r="F165" s="44">
        <f>IFERROR(IF(AND(D165&lt;&gt;"",E165&lt;&gt;""),E165/D165,""),"")</f>
        <v/>
      </c>
      <c r="G165" s="44" t="inlineStr"/>
      <c r="H165" s="44" t="inlineStr"/>
      <c r="I165" s="44" t="inlineStr"/>
    </row>
    <row r="166" ht="22" customHeight="1">
      <c r="A166" s="39" t="n">
        <v>46185</v>
      </c>
      <c r="B166" s="40" t="inlineStr">
        <is>
          <t>Friday</t>
        </is>
      </c>
      <c r="C166" s="41" t="n">
        <v>0</v>
      </c>
      <c r="D166" s="40" t="inlineStr"/>
      <c r="E166" s="40" t="inlineStr"/>
      <c r="F166" s="40">
        <f>IFERROR(IF(AND(D166&lt;&gt;"",E166&lt;&gt;""),E166/D166,""),"")</f>
        <v/>
      </c>
      <c r="G166" s="40" t="inlineStr"/>
      <c r="H166" s="40" t="inlineStr"/>
      <c r="I166" s="40" t="inlineStr"/>
    </row>
    <row r="167" ht="22" customHeight="1">
      <c r="A167" s="43" t="n">
        <v>46186</v>
      </c>
      <c r="B167" s="44" t="inlineStr">
        <is>
          <t>Saturday</t>
        </is>
      </c>
      <c r="C167" s="41" t="n">
        <v>0</v>
      </c>
      <c r="D167" s="44" t="inlineStr"/>
      <c r="E167" s="44" t="inlineStr"/>
      <c r="F167" s="44">
        <f>IFERROR(IF(AND(D167&lt;&gt;"",E167&lt;&gt;""),E167/D167,""),"")</f>
        <v/>
      </c>
      <c r="G167" s="44" t="inlineStr"/>
      <c r="H167" s="44" t="inlineStr"/>
      <c r="I167" s="44" t="inlineStr"/>
    </row>
    <row r="168" ht="22" customHeight="1">
      <c r="A168" s="39" t="n">
        <v>46187</v>
      </c>
      <c r="B168" s="40" t="inlineStr">
        <is>
          <t>Sunday</t>
        </is>
      </c>
      <c r="C168" s="41" t="n">
        <v>0</v>
      </c>
      <c r="D168" s="40" t="inlineStr"/>
      <c r="E168" s="40" t="inlineStr"/>
      <c r="F168" s="40">
        <f>IFERROR(IF(AND(D168&lt;&gt;"",E168&lt;&gt;""),E168/D168,""),"")</f>
        <v/>
      </c>
      <c r="G168" s="40" t="inlineStr"/>
      <c r="H168" s="40" t="inlineStr"/>
      <c r="I168" s="40" t="inlineStr"/>
    </row>
    <row r="169" ht="22" customHeight="1">
      <c r="A169" s="43" t="n">
        <v>46188</v>
      </c>
      <c r="B169" s="44" t="inlineStr">
        <is>
          <t>Monday</t>
        </is>
      </c>
      <c r="C169" s="41" t="n">
        <v>0</v>
      </c>
      <c r="D169" s="44" t="inlineStr"/>
      <c r="E169" s="44" t="inlineStr"/>
      <c r="F169" s="44">
        <f>IFERROR(IF(AND(D169&lt;&gt;"",E169&lt;&gt;""),E169/D169,""),"")</f>
        <v/>
      </c>
      <c r="G169" s="44" t="inlineStr"/>
      <c r="H169" s="44" t="inlineStr"/>
      <c r="I169" s="44" t="inlineStr"/>
    </row>
    <row r="170" ht="22" customHeight="1">
      <c r="A170" s="39" t="n">
        <v>46189</v>
      </c>
      <c r="B170" s="40" t="inlineStr">
        <is>
          <t>Tuesday</t>
        </is>
      </c>
      <c r="C170" s="41" t="n">
        <v>0</v>
      </c>
      <c r="D170" s="40" t="inlineStr"/>
      <c r="E170" s="40" t="inlineStr"/>
      <c r="F170" s="40">
        <f>IFERROR(IF(AND(D170&lt;&gt;"",E170&lt;&gt;""),E170/D170,""),"")</f>
        <v/>
      </c>
      <c r="G170" s="40" t="inlineStr"/>
      <c r="H170" s="40" t="inlineStr"/>
      <c r="I170" s="40" t="inlineStr"/>
    </row>
    <row r="171" ht="22" customHeight="1">
      <c r="A171" s="43" t="n">
        <v>46190</v>
      </c>
      <c r="B171" s="44" t="inlineStr">
        <is>
          <t>Wednesday</t>
        </is>
      </c>
      <c r="C171" s="41" t="n">
        <v>0</v>
      </c>
      <c r="D171" s="44" t="inlineStr"/>
      <c r="E171" s="44" t="inlineStr"/>
      <c r="F171" s="44">
        <f>IFERROR(IF(AND(D171&lt;&gt;"",E171&lt;&gt;""),E171/D171,""),"")</f>
        <v/>
      </c>
      <c r="G171" s="44" t="inlineStr"/>
      <c r="H171" s="44" t="inlineStr"/>
      <c r="I171" s="44" t="inlineStr"/>
    </row>
    <row r="172" ht="22" customHeight="1">
      <c r="A172" s="39" t="n">
        <v>46191</v>
      </c>
      <c r="B172" s="40" t="inlineStr">
        <is>
          <t>Thursday</t>
        </is>
      </c>
      <c r="C172" s="41" t="n">
        <v>0</v>
      </c>
      <c r="D172" s="40" t="inlineStr"/>
      <c r="E172" s="40" t="inlineStr"/>
      <c r="F172" s="40">
        <f>IFERROR(IF(AND(D172&lt;&gt;"",E172&lt;&gt;""),E172/D172,""),"")</f>
        <v/>
      </c>
      <c r="G172" s="40" t="inlineStr"/>
      <c r="H172" s="40" t="inlineStr"/>
      <c r="I172" s="40" t="inlineStr"/>
    </row>
    <row r="173" ht="22" customHeight="1">
      <c r="A173" s="43" t="n">
        <v>46192</v>
      </c>
      <c r="B173" s="44" t="inlineStr">
        <is>
          <t>Friday</t>
        </is>
      </c>
      <c r="C173" s="41" t="n">
        <v>0</v>
      </c>
      <c r="D173" s="44" t="inlineStr"/>
      <c r="E173" s="44" t="inlineStr"/>
      <c r="F173" s="44">
        <f>IFERROR(IF(AND(D173&lt;&gt;"",E173&lt;&gt;""),E173/D173,""),"")</f>
        <v/>
      </c>
      <c r="G173" s="44" t="inlineStr"/>
      <c r="H173" s="44" t="inlineStr"/>
      <c r="I173" s="44" t="inlineStr"/>
    </row>
    <row r="174" ht="22" customHeight="1">
      <c r="A174" s="39" t="n">
        <v>46193</v>
      </c>
      <c r="B174" s="40" t="inlineStr">
        <is>
          <t>Saturday</t>
        </is>
      </c>
      <c r="C174" s="41" t="n">
        <v>0</v>
      </c>
      <c r="D174" s="40" t="inlineStr"/>
      <c r="E174" s="40" t="inlineStr"/>
      <c r="F174" s="40">
        <f>IFERROR(IF(AND(D174&lt;&gt;"",E174&lt;&gt;""),E174/D174,""),"")</f>
        <v/>
      </c>
      <c r="G174" s="40" t="inlineStr"/>
      <c r="H174" s="40" t="inlineStr"/>
      <c r="I174" s="40" t="inlineStr"/>
    </row>
    <row r="175" ht="22" customHeight="1">
      <c r="A175" s="43" t="n">
        <v>46194</v>
      </c>
      <c r="B175" s="44" t="inlineStr">
        <is>
          <t>Sunday</t>
        </is>
      </c>
      <c r="C175" s="41" t="n">
        <v>0</v>
      </c>
      <c r="D175" s="44" t="inlineStr"/>
      <c r="E175" s="44" t="inlineStr"/>
      <c r="F175" s="44">
        <f>IFERROR(IF(AND(D175&lt;&gt;"",E175&lt;&gt;""),E175/D175,""),"")</f>
        <v/>
      </c>
      <c r="G175" s="44" t="inlineStr"/>
      <c r="H175" s="44" t="inlineStr"/>
      <c r="I175" s="44" t="inlineStr"/>
    </row>
    <row r="176" ht="22" customHeight="1">
      <c r="A176" s="39" t="n">
        <v>46195</v>
      </c>
      <c r="B176" s="40" t="inlineStr">
        <is>
          <t>Monday</t>
        </is>
      </c>
      <c r="C176" s="41" t="n">
        <v>0</v>
      </c>
      <c r="D176" s="40" t="inlineStr"/>
      <c r="E176" s="40" t="inlineStr"/>
      <c r="F176" s="40">
        <f>IFERROR(IF(AND(D176&lt;&gt;"",E176&lt;&gt;""),E176/D176,""),"")</f>
        <v/>
      </c>
      <c r="G176" s="40" t="inlineStr"/>
      <c r="H176" s="40" t="inlineStr"/>
      <c r="I176" s="40" t="inlineStr"/>
    </row>
    <row r="177" ht="22" customHeight="1">
      <c r="A177" s="43" t="n">
        <v>46196</v>
      </c>
      <c r="B177" s="44" t="inlineStr">
        <is>
          <t>Tuesday</t>
        </is>
      </c>
      <c r="C177" s="41" t="n">
        <v>0</v>
      </c>
      <c r="D177" s="44" t="inlineStr"/>
      <c r="E177" s="44" t="inlineStr"/>
      <c r="F177" s="44">
        <f>IFERROR(IF(AND(D177&lt;&gt;"",E177&lt;&gt;""),E177/D177,""),"")</f>
        <v/>
      </c>
      <c r="G177" s="44" t="inlineStr"/>
      <c r="H177" s="44" t="inlineStr"/>
      <c r="I177" s="44" t="inlineStr"/>
    </row>
    <row r="178" ht="22" customHeight="1">
      <c r="A178" s="39" t="n">
        <v>46197</v>
      </c>
      <c r="B178" s="40" t="inlineStr">
        <is>
          <t>Wednesday</t>
        </is>
      </c>
      <c r="C178" s="41" t="n">
        <v>0</v>
      </c>
      <c r="D178" s="40" t="inlineStr"/>
      <c r="E178" s="40" t="inlineStr"/>
      <c r="F178" s="40">
        <f>IFERROR(IF(AND(D178&lt;&gt;"",E178&lt;&gt;""),E178/D178,""),"")</f>
        <v/>
      </c>
      <c r="G178" s="40" t="inlineStr"/>
      <c r="H178" s="40" t="inlineStr"/>
      <c r="I178" s="40" t="inlineStr"/>
    </row>
    <row r="179" ht="22" customHeight="1">
      <c r="A179" s="43" t="n">
        <v>46198</v>
      </c>
      <c r="B179" s="44" t="inlineStr">
        <is>
          <t>Thursday</t>
        </is>
      </c>
      <c r="C179" s="41" t="n">
        <v>0</v>
      </c>
      <c r="D179" s="44" t="inlineStr"/>
      <c r="E179" s="44" t="inlineStr"/>
      <c r="F179" s="44">
        <f>IFERROR(IF(AND(D179&lt;&gt;"",E179&lt;&gt;""),E179/D179,""),"")</f>
        <v/>
      </c>
      <c r="G179" s="44" t="inlineStr"/>
      <c r="H179" s="44" t="inlineStr"/>
      <c r="I179" s="44" t="inlineStr"/>
    </row>
    <row r="180" ht="22" customHeight="1">
      <c r="A180" s="39" t="n">
        <v>46199</v>
      </c>
      <c r="B180" s="40" t="inlineStr">
        <is>
          <t>Friday</t>
        </is>
      </c>
      <c r="C180" s="41" t="n">
        <v>0</v>
      </c>
      <c r="D180" s="40" t="inlineStr"/>
      <c r="E180" s="40" t="inlineStr"/>
      <c r="F180" s="40">
        <f>IFERROR(IF(AND(D180&lt;&gt;"",E180&lt;&gt;""),E180/D180,""),"")</f>
        <v/>
      </c>
      <c r="G180" s="40" t="inlineStr"/>
      <c r="H180" s="40" t="inlineStr"/>
      <c r="I180" s="40" t="inlineStr"/>
    </row>
    <row r="181" ht="22" customHeight="1">
      <c r="A181" s="43" t="n">
        <v>46200</v>
      </c>
      <c r="B181" s="44" t="inlineStr">
        <is>
          <t>Saturday</t>
        </is>
      </c>
      <c r="C181" s="41" t="n">
        <v>0</v>
      </c>
      <c r="D181" s="44" t="inlineStr"/>
      <c r="E181" s="44" t="inlineStr"/>
      <c r="F181" s="44">
        <f>IFERROR(IF(AND(D181&lt;&gt;"",E181&lt;&gt;""),E181/D181,""),"")</f>
        <v/>
      </c>
      <c r="G181" s="44" t="inlineStr"/>
      <c r="H181" s="44" t="inlineStr"/>
      <c r="I181" s="44" t="inlineStr"/>
    </row>
    <row r="182" ht="22" customHeight="1">
      <c r="A182" s="39" t="n">
        <v>46201</v>
      </c>
      <c r="B182" s="40" t="inlineStr">
        <is>
          <t>Sunday</t>
        </is>
      </c>
      <c r="C182" s="41" t="n">
        <v>0</v>
      </c>
      <c r="D182" s="40" t="inlineStr"/>
      <c r="E182" s="40" t="inlineStr"/>
      <c r="F182" s="40">
        <f>IFERROR(IF(AND(D182&lt;&gt;"",E182&lt;&gt;""),E182/D182,""),"")</f>
        <v/>
      </c>
      <c r="G182" s="40" t="inlineStr"/>
      <c r="H182" s="40" t="inlineStr"/>
      <c r="I182" s="40" t="inlineStr"/>
    </row>
    <row r="183" ht="22" customHeight="1">
      <c r="A183" s="43" t="n">
        <v>46202</v>
      </c>
      <c r="B183" s="44" t="inlineStr">
        <is>
          <t>Monday</t>
        </is>
      </c>
      <c r="C183" s="41" t="n">
        <v>0</v>
      </c>
      <c r="D183" s="44" t="inlineStr"/>
      <c r="E183" s="44" t="inlineStr"/>
      <c r="F183" s="44">
        <f>IFERROR(IF(AND(D183&lt;&gt;"",E183&lt;&gt;""),E183/D183,""),"")</f>
        <v/>
      </c>
      <c r="G183" s="44" t="inlineStr"/>
      <c r="H183" s="44" t="inlineStr"/>
      <c r="I183" s="44" t="inlineStr"/>
    </row>
    <row r="184" ht="22" customHeight="1">
      <c r="A184" s="39" t="n">
        <v>46203</v>
      </c>
      <c r="B184" s="40" t="inlineStr">
        <is>
          <t>Tuesday</t>
        </is>
      </c>
      <c r="C184" s="41" t="n">
        <v>0</v>
      </c>
      <c r="D184" s="40" t="inlineStr"/>
      <c r="E184" s="40" t="inlineStr"/>
      <c r="F184" s="40">
        <f>IFERROR(IF(AND(D184&lt;&gt;"",E184&lt;&gt;""),E184/D184,""),"")</f>
        <v/>
      </c>
      <c r="G184" s="40" t="inlineStr"/>
      <c r="H184" s="40" t="inlineStr"/>
      <c r="I184" s="40" t="inlineStr"/>
    </row>
    <row r="185" ht="22" customHeight="1">
      <c r="A185" s="43" t="n">
        <v>46204</v>
      </c>
      <c r="B185" s="44" t="inlineStr">
        <is>
          <t>Wednesday</t>
        </is>
      </c>
      <c r="C185" s="41" t="n">
        <v>0</v>
      </c>
      <c r="D185" s="44" t="inlineStr"/>
      <c r="E185" s="44" t="inlineStr"/>
      <c r="F185" s="44">
        <f>IFERROR(IF(AND(D185&lt;&gt;"",E185&lt;&gt;""),E185/D185,""),"")</f>
        <v/>
      </c>
      <c r="G185" s="44" t="inlineStr"/>
      <c r="H185" s="44" t="inlineStr"/>
      <c r="I185" s="44" t="inlineStr"/>
    </row>
    <row r="186" ht="22" customHeight="1">
      <c r="A186" s="39" t="n">
        <v>46205</v>
      </c>
      <c r="B186" s="40" t="inlineStr">
        <is>
          <t>Thursday</t>
        </is>
      </c>
      <c r="C186" s="41" t="n">
        <v>0</v>
      </c>
      <c r="D186" s="40" t="inlineStr"/>
      <c r="E186" s="40" t="inlineStr"/>
      <c r="F186" s="40">
        <f>IFERROR(IF(AND(D186&lt;&gt;"",E186&lt;&gt;""),E186/D186,""),"")</f>
        <v/>
      </c>
      <c r="G186" s="40" t="inlineStr"/>
      <c r="H186" s="40" t="inlineStr"/>
      <c r="I186" s="40" t="inlineStr"/>
    </row>
    <row r="187" ht="22" customHeight="1">
      <c r="A187" s="43" t="n">
        <v>46206</v>
      </c>
      <c r="B187" s="44" t="inlineStr">
        <is>
          <t>Friday</t>
        </is>
      </c>
      <c r="C187" s="41" t="n">
        <v>0</v>
      </c>
      <c r="D187" s="44" t="inlineStr"/>
      <c r="E187" s="44" t="inlineStr"/>
      <c r="F187" s="44">
        <f>IFERROR(IF(AND(D187&lt;&gt;"",E187&lt;&gt;""),E187/D187,""),"")</f>
        <v/>
      </c>
      <c r="G187" s="44" t="inlineStr"/>
      <c r="H187" s="44" t="inlineStr"/>
      <c r="I187" s="44" t="inlineStr"/>
    </row>
    <row r="188" ht="22" customHeight="1">
      <c r="A188" s="39" t="n">
        <v>46207</v>
      </c>
      <c r="B188" s="40" t="inlineStr">
        <is>
          <t>Saturday</t>
        </is>
      </c>
      <c r="C188" s="41" t="n">
        <v>0</v>
      </c>
      <c r="D188" s="40" t="inlineStr"/>
      <c r="E188" s="40" t="inlineStr"/>
      <c r="F188" s="40">
        <f>IFERROR(IF(AND(D188&lt;&gt;"",E188&lt;&gt;""),E188/D188,""),"")</f>
        <v/>
      </c>
      <c r="G188" s="40" t="inlineStr"/>
      <c r="H188" s="40" t="inlineStr"/>
      <c r="I188" s="40" t="inlineStr"/>
    </row>
    <row r="189" ht="22" customHeight="1">
      <c r="A189" s="43" t="n">
        <v>46208</v>
      </c>
      <c r="B189" s="44" t="inlineStr">
        <is>
          <t>Sunday</t>
        </is>
      </c>
      <c r="C189" s="41" t="n">
        <v>0</v>
      </c>
      <c r="D189" s="44" t="inlineStr"/>
      <c r="E189" s="44" t="inlineStr"/>
      <c r="F189" s="44">
        <f>IFERROR(IF(AND(D189&lt;&gt;"",E189&lt;&gt;""),E189/D189,""),"")</f>
        <v/>
      </c>
      <c r="G189" s="44" t="inlineStr"/>
      <c r="H189" s="44" t="inlineStr"/>
      <c r="I189" s="44" t="inlineStr"/>
    </row>
    <row r="190" ht="22" customHeight="1">
      <c r="A190" s="39" t="n">
        <v>46209</v>
      </c>
      <c r="B190" s="40" t="inlineStr">
        <is>
          <t>Monday</t>
        </is>
      </c>
      <c r="C190" s="41" t="n">
        <v>0</v>
      </c>
      <c r="D190" s="40" t="inlineStr"/>
      <c r="E190" s="40" t="inlineStr"/>
      <c r="F190" s="40">
        <f>IFERROR(IF(AND(D190&lt;&gt;"",E190&lt;&gt;""),E190/D190,""),"")</f>
        <v/>
      </c>
      <c r="G190" s="40" t="inlineStr"/>
      <c r="H190" s="40" t="inlineStr"/>
      <c r="I190" s="40" t="inlineStr"/>
    </row>
    <row r="191" ht="22" customHeight="1">
      <c r="A191" s="43" t="n">
        <v>46210</v>
      </c>
      <c r="B191" s="44" t="inlineStr">
        <is>
          <t>Tuesday</t>
        </is>
      </c>
      <c r="C191" s="41" t="n">
        <v>0</v>
      </c>
      <c r="D191" s="44" t="inlineStr"/>
      <c r="E191" s="44" t="inlineStr"/>
      <c r="F191" s="44">
        <f>IFERROR(IF(AND(D191&lt;&gt;"",E191&lt;&gt;""),E191/D191,""),"")</f>
        <v/>
      </c>
      <c r="G191" s="44" t="inlineStr"/>
      <c r="H191" s="44" t="inlineStr"/>
      <c r="I191" s="44" t="inlineStr"/>
    </row>
    <row r="192" ht="22" customHeight="1">
      <c r="A192" s="39" t="n">
        <v>46211</v>
      </c>
      <c r="B192" s="40" t="inlineStr">
        <is>
          <t>Wednesday</t>
        </is>
      </c>
      <c r="C192" s="41" t="n">
        <v>0</v>
      </c>
      <c r="D192" s="40" t="inlineStr"/>
      <c r="E192" s="40" t="inlineStr"/>
      <c r="F192" s="40">
        <f>IFERROR(IF(AND(D192&lt;&gt;"",E192&lt;&gt;""),E192/D192,""),"")</f>
        <v/>
      </c>
      <c r="G192" s="40" t="inlineStr"/>
      <c r="H192" s="40" t="inlineStr"/>
      <c r="I192" s="40" t="inlineStr"/>
    </row>
    <row r="193" ht="22" customHeight="1">
      <c r="A193" s="43" t="n">
        <v>46212</v>
      </c>
      <c r="B193" s="44" t="inlineStr">
        <is>
          <t>Thursday</t>
        </is>
      </c>
      <c r="C193" s="41" t="n">
        <v>0</v>
      </c>
      <c r="D193" s="44" t="inlineStr"/>
      <c r="E193" s="44" t="inlineStr"/>
      <c r="F193" s="44">
        <f>IFERROR(IF(AND(D193&lt;&gt;"",E193&lt;&gt;""),E193/D193,""),"")</f>
        <v/>
      </c>
      <c r="G193" s="44" t="inlineStr"/>
      <c r="H193" s="44" t="inlineStr"/>
      <c r="I193" s="44" t="inlineStr"/>
    </row>
    <row r="194" ht="22" customHeight="1">
      <c r="A194" s="39" t="n">
        <v>46213</v>
      </c>
      <c r="B194" s="40" t="inlineStr">
        <is>
          <t>Friday</t>
        </is>
      </c>
      <c r="C194" s="41" t="n">
        <v>0</v>
      </c>
      <c r="D194" s="40" t="inlineStr"/>
      <c r="E194" s="40" t="inlineStr"/>
      <c r="F194" s="40">
        <f>IFERROR(IF(AND(D194&lt;&gt;"",E194&lt;&gt;""),E194/D194,""),"")</f>
        <v/>
      </c>
      <c r="G194" s="40" t="inlineStr"/>
      <c r="H194" s="40" t="inlineStr"/>
      <c r="I194" s="40" t="inlineStr"/>
    </row>
    <row r="195" ht="22" customHeight="1">
      <c r="A195" s="43" t="n">
        <v>46214</v>
      </c>
      <c r="B195" s="44" t="inlineStr">
        <is>
          <t>Saturday</t>
        </is>
      </c>
      <c r="C195" s="41" t="n">
        <v>0</v>
      </c>
      <c r="D195" s="44" t="inlineStr"/>
      <c r="E195" s="44" t="inlineStr"/>
      <c r="F195" s="44">
        <f>IFERROR(IF(AND(D195&lt;&gt;"",E195&lt;&gt;""),E195/D195,""),"")</f>
        <v/>
      </c>
      <c r="G195" s="44" t="inlineStr"/>
      <c r="H195" s="44" t="inlineStr"/>
      <c r="I195" s="44" t="inlineStr"/>
    </row>
    <row r="196" ht="22" customHeight="1">
      <c r="A196" s="39" t="n">
        <v>46215</v>
      </c>
      <c r="B196" s="40" t="inlineStr">
        <is>
          <t>Sunday</t>
        </is>
      </c>
      <c r="C196" s="41" t="n">
        <v>0</v>
      </c>
      <c r="D196" s="40" t="inlineStr"/>
      <c r="E196" s="40" t="inlineStr"/>
      <c r="F196" s="40">
        <f>IFERROR(IF(AND(D196&lt;&gt;"",E196&lt;&gt;""),E196/D196,""),"")</f>
        <v/>
      </c>
      <c r="G196" s="40" t="inlineStr"/>
      <c r="H196" s="40" t="inlineStr"/>
      <c r="I196" s="40" t="inlineStr"/>
    </row>
    <row r="197" ht="22" customHeight="1">
      <c r="A197" s="43" t="n">
        <v>46216</v>
      </c>
      <c r="B197" s="44" t="inlineStr">
        <is>
          <t>Monday</t>
        </is>
      </c>
      <c r="C197" s="41" t="n">
        <v>0</v>
      </c>
      <c r="D197" s="44" t="inlineStr"/>
      <c r="E197" s="44" t="inlineStr"/>
      <c r="F197" s="44">
        <f>IFERROR(IF(AND(D197&lt;&gt;"",E197&lt;&gt;""),E197/D197,""),"")</f>
        <v/>
      </c>
      <c r="G197" s="44" t="inlineStr"/>
      <c r="H197" s="44" t="inlineStr"/>
      <c r="I197" s="44" t="inlineStr"/>
    </row>
    <row r="198" ht="22" customHeight="1">
      <c r="A198" s="39" t="n">
        <v>46217</v>
      </c>
      <c r="B198" s="40" t="inlineStr">
        <is>
          <t>Tuesday</t>
        </is>
      </c>
      <c r="C198" s="41" t="n">
        <v>0</v>
      </c>
      <c r="D198" s="40" t="inlineStr"/>
      <c r="E198" s="40" t="inlineStr"/>
      <c r="F198" s="40">
        <f>IFERROR(IF(AND(D198&lt;&gt;"",E198&lt;&gt;""),E198/D198,""),"")</f>
        <v/>
      </c>
      <c r="G198" s="40" t="inlineStr"/>
      <c r="H198" s="40" t="inlineStr"/>
      <c r="I198" s="40" t="inlineStr"/>
    </row>
    <row r="199" ht="22" customHeight="1">
      <c r="A199" s="43" t="n">
        <v>46218</v>
      </c>
      <c r="B199" s="44" t="inlineStr">
        <is>
          <t>Wednesday</t>
        </is>
      </c>
      <c r="C199" s="41" t="n">
        <v>0</v>
      </c>
      <c r="D199" s="44" t="inlineStr"/>
      <c r="E199" s="44" t="inlineStr"/>
      <c r="F199" s="44">
        <f>IFERROR(IF(AND(D199&lt;&gt;"",E199&lt;&gt;""),E199/D199,""),"")</f>
        <v/>
      </c>
      <c r="G199" s="44" t="inlineStr"/>
      <c r="H199" s="44" t="inlineStr"/>
      <c r="I199" s="44" t="inlineStr"/>
    </row>
    <row r="200" ht="22" customHeight="1">
      <c r="A200" s="39" t="n">
        <v>46219</v>
      </c>
      <c r="B200" s="40" t="inlineStr">
        <is>
          <t>Thursday</t>
        </is>
      </c>
      <c r="C200" s="41" t="n">
        <v>0</v>
      </c>
      <c r="D200" s="40" t="inlineStr"/>
      <c r="E200" s="40" t="inlineStr"/>
      <c r="F200" s="40">
        <f>IFERROR(IF(AND(D200&lt;&gt;"",E200&lt;&gt;""),E200/D200,""),"")</f>
        <v/>
      </c>
      <c r="G200" s="40" t="inlineStr"/>
      <c r="H200" s="40" t="inlineStr"/>
      <c r="I200" s="40" t="inlineStr"/>
    </row>
    <row r="201" ht="22" customHeight="1">
      <c r="A201" s="43" t="n">
        <v>46220</v>
      </c>
      <c r="B201" s="44" t="inlineStr">
        <is>
          <t>Friday</t>
        </is>
      </c>
      <c r="C201" s="41" t="n">
        <v>0</v>
      </c>
      <c r="D201" s="44" t="inlineStr"/>
      <c r="E201" s="44" t="inlineStr"/>
      <c r="F201" s="44">
        <f>IFERROR(IF(AND(D201&lt;&gt;"",E201&lt;&gt;""),E201/D201,""),"")</f>
        <v/>
      </c>
      <c r="G201" s="44" t="inlineStr"/>
      <c r="H201" s="44" t="inlineStr"/>
      <c r="I201" s="44" t="inlineStr"/>
    </row>
    <row r="202" ht="22" customHeight="1">
      <c r="A202" s="39" t="n">
        <v>46221</v>
      </c>
      <c r="B202" s="40" t="inlineStr">
        <is>
          <t>Saturday</t>
        </is>
      </c>
      <c r="C202" s="41" t="n">
        <v>0</v>
      </c>
      <c r="D202" s="40" t="inlineStr"/>
      <c r="E202" s="40" t="inlineStr"/>
      <c r="F202" s="40">
        <f>IFERROR(IF(AND(D202&lt;&gt;"",E202&lt;&gt;""),E202/D202,""),"")</f>
        <v/>
      </c>
      <c r="G202" s="40" t="inlineStr"/>
      <c r="H202" s="40" t="inlineStr"/>
      <c r="I202" s="40" t="inlineStr"/>
    </row>
    <row r="203" ht="22" customHeight="1">
      <c r="A203" s="43" t="n">
        <v>46222</v>
      </c>
      <c r="B203" s="44" t="inlineStr">
        <is>
          <t>Sunday</t>
        </is>
      </c>
      <c r="C203" s="41" t="n">
        <v>0</v>
      </c>
      <c r="D203" s="44" t="inlineStr"/>
      <c r="E203" s="44" t="inlineStr"/>
      <c r="F203" s="44">
        <f>IFERROR(IF(AND(D203&lt;&gt;"",E203&lt;&gt;""),E203/D203,""),"")</f>
        <v/>
      </c>
      <c r="G203" s="44" t="inlineStr"/>
      <c r="H203" s="44" t="inlineStr"/>
      <c r="I203" s="44" t="inlineStr"/>
    </row>
    <row r="204" ht="22" customHeight="1">
      <c r="A204" s="39" t="n">
        <v>46223</v>
      </c>
      <c r="B204" s="40" t="inlineStr">
        <is>
          <t>Monday</t>
        </is>
      </c>
      <c r="C204" s="41" t="n">
        <v>0</v>
      </c>
      <c r="D204" s="40" t="inlineStr"/>
      <c r="E204" s="40" t="inlineStr"/>
      <c r="F204" s="40">
        <f>IFERROR(IF(AND(D204&lt;&gt;"",E204&lt;&gt;""),E204/D204,""),"")</f>
        <v/>
      </c>
      <c r="G204" s="40" t="inlineStr"/>
      <c r="H204" s="40" t="inlineStr"/>
      <c r="I204" s="40" t="inlineStr"/>
    </row>
    <row r="205" ht="22" customHeight="1">
      <c r="A205" s="43" t="n">
        <v>46224</v>
      </c>
      <c r="B205" s="44" t="inlineStr">
        <is>
          <t>Tuesday</t>
        </is>
      </c>
      <c r="C205" s="41" t="n">
        <v>0</v>
      </c>
      <c r="D205" s="44" t="inlineStr"/>
      <c r="E205" s="44" t="inlineStr"/>
      <c r="F205" s="44">
        <f>IFERROR(IF(AND(D205&lt;&gt;"",E205&lt;&gt;""),E205/D205,""),"")</f>
        <v/>
      </c>
      <c r="G205" s="44" t="inlineStr"/>
      <c r="H205" s="44" t="inlineStr"/>
      <c r="I205" s="44" t="inlineStr"/>
    </row>
    <row r="206" ht="22" customHeight="1">
      <c r="A206" s="39" t="n">
        <v>46225</v>
      </c>
      <c r="B206" s="40" t="inlineStr">
        <is>
          <t>Wednesday</t>
        </is>
      </c>
      <c r="C206" s="41" t="n">
        <v>0</v>
      </c>
      <c r="D206" s="40" t="inlineStr"/>
      <c r="E206" s="40" t="inlineStr"/>
      <c r="F206" s="40">
        <f>IFERROR(IF(AND(D206&lt;&gt;"",E206&lt;&gt;""),E206/D206,""),"")</f>
        <v/>
      </c>
      <c r="G206" s="40" t="inlineStr"/>
      <c r="H206" s="40" t="inlineStr"/>
      <c r="I206" s="40" t="inlineStr"/>
    </row>
    <row r="207" ht="22" customHeight="1">
      <c r="A207" s="43" t="n">
        <v>46226</v>
      </c>
      <c r="B207" s="44" t="inlineStr">
        <is>
          <t>Thursday</t>
        </is>
      </c>
      <c r="C207" s="41" t="n">
        <v>0</v>
      </c>
      <c r="D207" s="44" t="inlineStr"/>
      <c r="E207" s="44" t="inlineStr"/>
      <c r="F207" s="44">
        <f>IFERROR(IF(AND(D207&lt;&gt;"",E207&lt;&gt;""),E207/D207,""),"")</f>
        <v/>
      </c>
      <c r="G207" s="44" t="inlineStr"/>
      <c r="H207" s="44" t="inlineStr"/>
      <c r="I207" s="44" t="inlineStr"/>
    </row>
    <row r="208" ht="22" customHeight="1">
      <c r="A208" s="39" t="n">
        <v>46227</v>
      </c>
      <c r="B208" s="40" t="inlineStr">
        <is>
          <t>Friday</t>
        </is>
      </c>
      <c r="C208" s="41" t="n">
        <v>0</v>
      </c>
      <c r="D208" s="40" t="inlineStr"/>
      <c r="E208" s="40" t="inlineStr"/>
      <c r="F208" s="40">
        <f>IFERROR(IF(AND(D208&lt;&gt;"",E208&lt;&gt;""),E208/D208,""),"")</f>
        <v/>
      </c>
      <c r="G208" s="40" t="inlineStr"/>
      <c r="H208" s="40" t="inlineStr"/>
      <c r="I208" s="40" t="inlineStr"/>
    </row>
    <row r="209" ht="22" customHeight="1">
      <c r="A209" s="43" t="n">
        <v>46228</v>
      </c>
      <c r="B209" s="44" t="inlineStr">
        <is>
          <t>Saturday</t>
        </is>
      </c>
      <c r="C209" s="41" t="n">
        <v>0</v>
      </c>
      <c r="D209" s="44" t="inlineStr"/>
      <c r="E209" s="44" t="inlineStr"/>
      <c r="F209" s="44">
        <f>IFERROR(IF(AND(D209&lt;&gt;"",E209&lt;&gt;""),E209/D209,""),"")</f>
        <v/>
      </c>
      <c r="G209" s="44" t="inlineStr"/>
      <c r="H209" s="44" t="inlineStr"/>
      <c r="I209" s="44" t="inlineStr"/>
    </row>
    <row r="210" ht="22" customHeight="1">
      <c r="A210" s="39" t="n">
        <v>46229</v>
      </c>
      <c r="B210" s="40" t="inlineStr">
        <is>
          <t>Sunday</t>
        </is>
      </c>
      <c r="C210" s="41" t="n">
        <v>0</v>
      </c>
      <c r="D210" s="40" t="inlineStr"/>
      <c r="E210" s="40" t="inlineStr"/>
      <c r="F210" s="40">
        <f>IFERROR(IF(AND(D210&lt;&gt;"",E210&lt;&gt;""),E210/D210,""),"")</f>
        <v/>
      </c>
      <c r="G210" s="40" t="inlineStr"/>
      <c r="H210" s="40" t="inlineStr"/>
      <c r="I210" s="40" t="inlineStr"/>
    </row>
    <row r="211" ht="22" customHeight="1">
      <c r="A211" s="43" t="n">
        <v>46230</v>
      </c>
      <c r="B211" s="44" t="inlineStr">
        <is>
          <t>Monday</t>
        </is>
      </c>
      <c r="C211" s="41" t="n">
        <v>0</v>
      </c>
      <c r="D211" s="44" t="inlineStr"/>
      <c r="E211" s="44" t="inlineStr"/>
      <c r="F211" s="44">
        <f>IFERROR(IF(AND(D211&lt;&gt;"",E211&lt;&gt;""),E211/D211,""),"")</f>
        <v/>
      </c>
      <c r="G211" s="44" t="inlineStr"/>
      <c r="H211" s="44" t="inlineStr"/>
      <c r="I211" s="44" t="inlineStr"/>
    </row>
    <row r="212" ht="22" customHeight="1">
      <c r="A212" s="39" t="n">
        <v>46231</v>
      </c>
      <c r="B212" s="40" t="inlineStr">
        <is>
          <t>Tuesday</t>
        </is>
      </c>
      <c r="C212" s="41" t="n">
        <v>0</v>
      </c>
      <c r="D212" s="40" t="inlineStr"/>
      <c r="E212" s="40" t="inlineStr"/>
      <c r="F212" s="40">
        <f>IFERROR(IF(AND(D212&lt;&gt;"",E212&lt;&gt;""),E212/D212,""),"")</f>
        <v/>
      </c>
      <c r="G212" s="40" t="inlineStr"/>
      <c r="H212" s="40" t="inlineStr"/>
      <c r="I212" s="40" t="inlineStr"/>
    </row>
    <row r="213" ht="22" customHeight="1">
      <c r="A213" s="43" t="n">
        <v>46232</v>
      </c>
      <c r="B213" s="44" t="inlineStr">
        <is>
          <t>Wednesday</t>
        </is>
      </c>
      <c r="C213" s="41" t="n">
        <v>0</v>
      </c>
      <c r="D213" s="44" t="inlineStr"/>
      <c r="E213" s="44" t="inlineStr"/>
      <c r="F213" s="44">
        <f>IFERROR(IF(AND(D213&lt;&gt;"",E213&lt;&gt;""),E213/D213,""),"")</f>
        <v/>
      </c>
      <c r="G213" s="44" t="inlineStr"/>
      <c r="H213" s="44" t="inlineStr"/>
      <c r="I213" s="44" t="inlineStr"/>
    </row>
    <row r="214" ht="22" customHeight="1">
      <c r="A214" s="39" t="n">
        <v>46233</v>
      </c>
      <c r="B214" s="40" t="inlineStr">
        <is>
          <t>Thursday</t>
        </is>
      </c>
      <c r="C214" s="41" t="n">
        <v>0</v>
      </c>
      <c r="D214" s="40" t="inlineStr"/>
      <c r="E214" s="40" t="inlineStr"/>
      <c r="F214" s="40">
        <f>IFERROR(IF(AND(D214&lt;&gt;"",E214&lt;&gt;""),E214/D214,""),"")</f>
        <v/>
      </c>
      <c r="G214" s="40" t="inlineStr"/>
      <c r="H214" s="40" t="inlineStr"/>
      <c r="I214" s="40" t="inlineStr"/>
    </row>
    <row r="215" ht="22" customHeight="1">
      <c r="A215" s="43" t="n">
        <v>46234</v>
      </c>
      <c r="B215" s="44" t="inlineStr">
        <is>
          <t>Friday</t>
        </is>
      </c>
      <c r="C215" s="41" t="n">
        <v>0</v>
      </c>
      <c r="D215" s="44" t="inlineStr"/>
      <c r="E215" s="44" t="inlineStr"/>
      <c r="F215" s="44">
        <f>IFERROR(IF(AND(D215&lt;&gt;"",E215&lt;&gt;""),E215/D215,""),"")</f>
        <v/>
      </c>
      <c r="G215" s="44" t="inlineStr"/>
      <c r="H215" s="44" t="inlineStr"/>
      <c r="I215" s="44" t="inlineStr"/>
    </row>
    <row r="216" ht="22" customHeight="1">
      <c r="A216" s="39" t="n">
        <v>46235</v>
      </c>
      <c r="B216" s="40" t="inlineStr">
        <is>
          <t>Saturday</t>
        </is>
      </c>
      <c r="C216" s="41" t="n">
        <v>0</v>
      </c>
      <c r="D216" s="40" t="inlineStr"/>
      <c r="E216" s="40" t="inlineStr"/>
      <c r="F216" s="40">
        <f>IFERROR(IF(AND(D216&lt;&gt;"",E216&lt;&gt;""),E216/D216,""),"")</f>
        <v/>
      </c>
      <c r="G216" s="40" t="inlineStr"/>
      <c r="H216" s="40" t="inlineStr"/>
      <c r="I216" s="40" t="inlineStr"/>
    </row>
    <row r="217" ht="22" customHeight="1">
      <c r="A217" s="43" t="n">
        <v>46236</v>
      </c>
      <c r="B217" s="44" t="inlineStr">
        <is>
          <t>Sunday</t>
        </is>
      </c>
      <c r="C217" s="41" t="n">
        <v>0</v>
      </c>
      <c r="D217" s="44" t="inlineStr"/>
      <c r="E217" s="44" t="inlineStr"/>
      <c r="F217" s="44">
        <f>IFERROR(IF(AND(D217&lt;&gt;"",E217&lt;&gt;""),E217/D217,""),"")</f>
        <v/>
      </c>
      <c r="G217" s="44" t="inlineStr"/>
      <c r="H217" s="44" t="inlineStr"/>
      <c r="I217" s="44" t="inlineStr"/>
    </row>
    <row r="218" ht="22" customHeight="1">
      <c r="A218" s="39" t="n">
        <v>46237</v>
      </c>
      <c r="B218" s="40" t="inlineStr">
        <is>
          <t>Monday</t>
        </is>
      </c>
      <c r="C218" s="41" t="n">
        <v>0</v>
      </c>
      <c r="D218" s="40" t="inlineStr"/>
      <c r="E218" s="40" t="inlineStr"/>
      <c r="F218" s="40">
        <f>IFERROR(IF(AND(D218&lt;&gt;"",E218&lt;&gt;""),E218/D218,""),"")</f>
        <v/>
      </c>
      <c r="G218" s="40" t="inlineStr"/>
      <c r="H218" s="40" t="inlineStr"/>
      <c r="I218" s="40" t="inlineStr"/>
    </row>
    <row r="219" ht="22" customHeight="1">
      <c r="A219" s="43" t="n">
        <v>46238</v>
      </c>
      <c r="B219" s="44" t="inlineStr">
        <is>
          <t>Tuesday</t>
        </is>
      </c>
      <c r="C219" s="41" t="n">
        <v>0</v>
      </c>
      <c r="D219" s="44" t="inlineStr"/>
      <c r="E219" s="44" t="inlineStr"/>
      <c r="F219" s="44">
        <f>IFERROR(IF(AND(D219&lt;&gt;"",E219&lt;&gt;""),E219/D219,""),"")</f>
        <v/>
      </c>
      <c r="G219" s="44" t="inlineStr"/>
      <c r="H219" s="44" t="inlineStr"/>
      <c r="I219" s="44" t="inlineStr"/>
    </row>
    <row r="220" ht="22" customHeight="1">
      <c r="A220" s="39" t="n">
        <v>46239</v>
      </c>
      <c r="B220" s="40" t="inlineStr">
        <is>
          <t>Wednesday</t>
        </is>
      </c>
      <c r="C220" s="41" t="n">
        <v>0</v>
      </c>
      <c r="D220" s="40" t="inlineStr"/>
      <c r="E220" s="40" t="inlineStr"/>
      <c r="F220" s="40">
        <f>IFERROR(IF(AND(D220&lt;&gt;"",E220&lt;&gt;""),E220/D220,""),"")</f>
        <v/>
      </c>
      <c r="G220" s="40" t="inlineStr"/>
      <c r="H220" s="40" t="inlineStr"/>
      <c r="I220" s="40" t="inlineStr"/>
    </row>
    <row r="221" ht="22" customHeight="1">
      <c r="A221" s="43" t="n">
        <v>46240</v>
      </c>
      <c r="B221" s="44" t="inlineStr">
        <is>
          <t>Thursday</t>
        </is>
      </c>
      <c r="C221" s="41" t="n">
        <v>0</v>
      </c>
      <c r="D221" s="44" t="inlineStr"/>
      <c r="E221" s="44" t="inlineStr"/>
      <c r="F221" s="44">
        <f>IFERROR(IF(AND(D221&lt;&gt;"",E221&lt;&gt;""),E221/D221,""),"")</f>
        <v/>
      </c>
      <c r="G221" s="44" t="inlineStr"/>
      <c r="H221" s="44" t="inlineStr"/>
      <c r="I221" s="44" t="inlineStr"/>
    </row>
    <row r="222" ht="22" customHeight="1">
      <c r="A222" s="39" t="n">
        <v>46241</v>
      </c>
      <c r="B222" s="40" t="inlineStr">
        <is>
          <t>Friday</t>
        </is>
      </c>
      <c r="C222" s="41" t="n">
        <v>0</v>
      </c>
      <c r="D222" s="40" t="inlineStr"/>
      <c r="E222" s="40" t="inlineStr"/>
      <c r="F222" s="40">
        <f>IFERROR(IF(AND(D222&lt;&gt;"",E222&lt;&gt;""),E222/D222,""),"")</f>
        <v/>
      </c>
      <c r="G222" s="40" t="inlineStr"/>
      <c r="H222" s="40" t="inlineStr"/>
      <c r="I222" s="40" t="inlineStr"/>
    </row>
    <row r="223" ht="22" customHeight="1">
      <c r="A223" s="43" t="n">
        <v>46242</v>
      </c>
      <c r="B223" s="44" t="inlineStr">
        <is>
          <t>Saturday</t>
        </is>
      </c>
      <c r="C223" s="41" t="n">
        <v>0</v>
      </c>
      <c r="D223" s="44" t="inlineStr"/>
      <c r="E223" s="44" t="inlineStr"/>
      <c r="F223" s="44">
        <f>IFERROR(IF(AND(D223&lt;&gt;"",E223&lt;&gt;""),E223/D223,""),"")</f>
        <v/>
      </c>
      <c r="G223" s="44" t="inlineStr"/>
      <c r="H223" s="44" t="inlineStr"/>
      <c r="I223" s="44" t="inlineStr"/>
    </row>
    <row r="224" ht="22" customHeight="1">
      <c r="A224" s="39" t="n">
        <v>46243</v>
      </c>
      <c r="B224" s="40" t="inlineStr">
        <is>
          <t>Sunday</t>
        </is>
      </c>
      <c r="C224" s="41" t="n">
        <v>0</v>
      </c>
      <c r="D224" s="40" t="inlineStr"/>
      <c r="E224" s="40" t="inlineStr"/>
      <c r="F224" s="40">
        <f>IFERROR(IF(AND(D224&lt;&gt;"",E224&lt;&gt;""),E224/D224,""),"")</f>
        <v/>
      </c>
      <c r="G224" s="40" t="inlineStr"/>
      <c r="H224" s="40" t="inlineStr"/>
      <c r="I224" s="40" t="inlineStr"/>
    </row>
    <row r="225" ht="22" customHeight="1">
      <c r="A225" s="43" t="n">
        <v>46244</v>
      </c>
      <c r="B225" s="44" t="inlineStr">
        <is>
          <t>Monday</t>
        </is>
      </c>
      <c r="C225" s="41" t="n">
        <v>0</v>
      </c>
      <c r="D225" s="44" t="inlineStr"/>
      <c r="E225" s="44" t="inlineStr"/>
      <c r="F225" s="44">
        <f>IFERROR(IF(AND(D225&lt;&gt;"",E225&lt;&gt;""),E225/D225,""),"")</f>
        <v/>
      </c>
      <c r="G225" s="44" t="inlineStr"/>
      <c r="H225" s="44" t="inlineStr"/>
      <c r="I225" s="44" t="inlineStr"/>
    </row>
    <row r="226" ht="22" customHeight="1">
      <c r="A226" s="39" t="n">
        <v>46245</v>
      </c>
      <c r="B226" s="40" t="inlineStr">
        <is>
          <t>Tuesday</t>
        </is>
      </c>
      <c r="C226" s="41" t="n">
        <v>0</v>
      </c>
      <c r="D226" s="40" t="inlineStr"/>
      <c r="E226" s="40" t="inlineStr"/>
      <c r="F226" s="40">
        <f>IFERROR(IF(AND(D226&lt;&gt;"",E226&lt;&gt;""),E226/D226,""),"")</f>
        <v/>
      </c>
      <c r="G226" s="40" t="inlineStr"/>
      <c r="H226" s="40" t="inlineStr"/>
      <c r="I226" s="40" t="inlineStr"/>
    </row>
    <row r="227" ht="22" customHeight="1">
      <c r="A227" s="43" t="n">
        <v>46246</v>
      </c>
      <c r="B227" s="44" t="inlineStr">
        <is>
          <t>Wednesday</t>
        </is>
      </c>
      <c r="C227" s="41" t="n">
        <v>0</v>
      </c>
      <c r="D227" s="44" t="inlineStr"/>
      <c r="E227" s="44" t="inlineStr"/>
      <c r="F227" s="44">
        <f>IFERROR(IF(AND(D227&lt;&gt;"",E227&lt;&gt;""),E227/D227,""),"")</f>
        <v/>
      </c>
      <c r="G227" s="44" t="inlineStr"/>
      <c r="H227" s="44" t="inlineStr"/>
      <c r="I227" s="44" t="inlineStr"/>
    </row>
    <row r="228" ht="22" customHeight="1">
      <c r="A228" s="39" t="n">
        <v>46247</v>
      </c>
      <c r="B228" s="40" t="inlineStr">
        <is>
          <t>Thursday</t>
        </is>
      </c>
      <c r="C228" s="41" t="n">
        <v>0</v>
      </c>
      <c r="D228" s="40" t="inlineStr"/>
      <c r="E228" s="40" t="inlineStr"/>
      <c r="F228" s="40">
        <f>IFERROR(IF(AND(D228&lt;&gt;"",E228&lt;&gt;""),E228/D228,""),"")</f>
        <v/>
      </c>
      <c r="G228" s="40" t="inlineStr"/>
      <c r="H228" s="40" t="inlineStr"/>
      <c r="I228" s="40" t="inlineStr"/>
    </row>
    <row r="229" ht="22" customHeight="1">
      <c r="A229" s="43" t="n">
        <v>46248</v>
      </c>
      <c r="B229" s="44" t="inlineStr">
        <is>
          <t>Friday</t>
        </is>
      </c>
      <c r="C229" s="41" t="n">
        <v>0</v>
      </c>
      <c r="D229" s="44" t="inlineStr"/>
      <c r="E229" s="44" t="inlineStr"/>
      <c r="F229" s="44">
        <f>IFERROR(IF(AND(D229&lt;&gt;"",E229&lt;&gt;""),E229/D229,""),"")</f>
        <v/>
      </c>
      <c r="G229" s="44" t="inlineStr"/>
      <c r="H229" s="44" t="inlineStr"/>
      <c r="I229" s="44" t="inlineStr"/>
    </row>
    <row r="230" ht="22" customHeight="1">
      <c r="A230" s="39" t="n">
        <v>46249</v>
      </c>
      <c r="B230" s="40" t="inlineStr">
        <is>
          <t>Saturday</t>
        </is>
      </c>
      <c r="C230" s="41" t="n">
        <v>0</v>
      </c>
      <c r="D230" s="40" t="inlineStr"/>
      <c r="E230" s="40" t="inlineStr"/>
      <c r="F230" s="40">
        <f>IFERROR(IF(AND(D230&lt;&gt;"",E230&lt;&gt;""),E230/D230,""),"")</f>
        <v/>
      </c>
      <c r="G230" s="40" t="inlineStr"/>
      <c r="H230" s="40" t="inlineStr"/>
      <c r="I230" s="40" t="inlineStr"/>
    </row>
    <row r="231" ht="22" customHeight="1">
      <c r="A231" s="43" t="n">
        <v>46250</v>
      </c>
      <c r="B231" s="44" t="inlineStr">
        <is>
          <t>Sunday</t>
        </is>
      </c>
      <c r="C231" s="41" t="n">
        <v>0</v>
      </c>
      <c r="D231" s="44" t="inlineStr"/>
      <c r="E231" s="44" t="inlineStr"/>
      <c r="F231" s="44">
        <f>IFERROR(IF(AND(D231&lt;&gt;"",E231&lt;&gt;""),E231/D231,""),"")</f>
        <v/>
      </c>
      <c r="G231" s="44" t="inlineStr"/>
      <c r="H231" s="44" t="inlineStr"/>
      <c r="I231" s="44" t="inlineStr"/>
    </row>
    <row r="232" ht="22" customHeight="1">
      <c r="A232" s="39" t="n">
        <v>46251</v>
      </c>
      <c r="B232" s="40" t="inlineStr">
        <is>
          <t>Monday</t>
        </is>
      </c>
      <c r="C232" s="41" t="n">
        <v>0</v>
      </c>
      <c r="D232" s="40" t="inlineStr"/>
      <c r="E232" s="40" t="inlineStr"/>
      <c r="F232" s="40">
        <f>IFERROR(IF(AND(D232&lt;&gt;"",E232&lt;&gt;""),E232/D232,""),"")</f>
        <v/>
      </c>
      <c r="G232" s="40" t="inlineStr"/>
      <c r="H232" s="40" t="inlineStr"/>
      <c r="I232" s="40" t="inlineStr"/>
    </row>
    <row r="233" ht="22" customHeight="1">
      <c r="A233" s="43" t="n">
        <v>46252</v>
      </c>
      <c r="B233" s="44" t="inlineStr">
        <is>
          <t>Tuesday</t>
        </is>
      </c>
      <c r="C233" s="41" t="n">
        <v>0</v>
      </c>
      <c r="D233" s="44" t="inlineStr"/>
      <c r="E233" s="44" t="inlineStr"/>
      <c r="F233" s="44">
        <f>IFERROR(IF(AND(D233&lt;&gt;"",E233&lt;&gt;""),E233/D233,""),"")</f>
        <v/>
      </c>
      <c r="G233" s="44" t="inlineStr"/>
      <c r="H233" s="44" t="inlineStr"/>
      <c r="I233" s="44" t="inlineStr"/>
    </row>
    <row r="234" ht="22" customHeight="1">
      <c r="A234" s="39" t="n">
        <v>46253</v>
      </c>
      <c r="B234" s="40" t="inlineStr">
        <is>
          <t>Wednesday</t>
        </is>
      </c>
      <c r="C234" s="41" t="n">
        <v>0</v>
      </c>
      <c r="D234" s="40" t="inlineStr"/>
      <c r="E234" s="40" t="inlineStr"/>
      <c r="F234" s="40">
        <f>IFERROR(IF(AND(D234&lt;&gt;"",E234&lt;&gt;""),E234/D234,""),"")</f>
        <v/>
      </c>
      <c r="G234" s="40" t="inlineStr"/>
      <c r="H234" s="40" t="inlineStr"/>
      <c r="I234" s="40" t="inlineStr"/>
    </row>
    <row r="235" ht="22" customHeight="1">
      <c r="A235" s="43" t="n">
        <v>46254</v>
      </c>
      <c r="B235" s="44" t="inlineStr">
        <is>
          <t>Thursday</t>
        </is>
      </c>
      <c r="C235" s="41" t="n">
        <v>0</v>
      </c>
      <c r="D235" s="44" t="inlineStr"/>
      <c r="E235" s="44" t="inlineStr"/>
      <c r="F235" s="44">
        <f>IFERROR(IF(AND(D235&lt;&gt;"",E235&lt;&gt;""),E235/D235,""),"")</f>
        <v/>
      </c>
      <c r="G235" s="44" t="inlineStr"/>
      <c r="H235" s="44" t="inlineStr"/>
      <c r="I235" s="44" t="inlineStr"/>
    </row>
    <row r="236" ht="22" customHeight="1">
      <c r="A236" s="39" t="n">
        <v>46255</v>
      </c>
      <c r="B236" s="40" t="inlineStr">
        <is>
          <t>Friday</t>
        </is>
      </c>
      <c r="C236" s="41" t="n">
        <v>0</v>
      </c>
      <c r="D236" s="40" t="inlineStr"/>
      <c r="E236" s="40" t="inlineStr"/>
      <c r="F236" s="40">
        <f>IFERROR(IF(AND(D236&lt;&gt;"",E236&lt;&gt;""),E236/D236,""),"")</f>
        <v/>
      </c>
      <c r="G236" s="40" t="inlineStr"/>
      <c r="H236" s="40" t="inlineStr"/>
      <c r="I236" s="40" t="inlineStr"/>
    </row>
    <row r="237" ht="22" customHeight="1">
      <c r="A237" s="43" t="n">
        <v>46256</v>
      </c>
      <c r="B237" s="44" t="inlineStr">
        <is>
          <t>Saturday</t>
        </is>
      </c>
      <c r="C237" s="41" t="n">
        <v>0</v>
      </c>
      <c r="D237" s="44" t="inlineStr"/>
      <c r="E237" s="44" t="inlineStr"/>
      <c r="F237" s="44">
        <f>IFERROR(IF(AND(D237&lt;&gt;"",E237&lt;&gt;""),E237/D237,""),"")</f>
        <v/>
      </c>
      <c r="G237" s="44" t="inlineStr"/>
      <c r="H237" s="44" t="inlineStr"/>
      <c r="I237" s="44" t="inlineStr"/>
    </row>
    <row r="238" ht="22" customHeight="1">
      <c r="A238" s="39" t="n">
        <v>46257</v>
      </c>
      <c r="B238" s="40" t="inlineStr">
        <is>
          <t>Sunday</t>
        </is>
      </c>
      <c r="C238" s="41" t="n">
        <v>0</v>
      </c>
      <c r="D238" s="40" t="inlineStr"/>
      <c r="E238" s="40" t="inlineStr"/>
      <c r="F238" s="40">
        <f>IFERROR(IF(AND(D238&lt;&gt;"",E238&lt;&gt;""),E238/D238,""),"")</f>
        <v/>
      </c>
      <c r="G238" s="40" t="inlineStr"/>
      <c r="H238" s="40" t="inlineStr"/>
      <c r="I238" s="40" t="inlineStr"/>
    </row>
    <row r="239" ht="22" customHeight="1">
      <c r="A239" s="43" t="n">
        <v>46258</v>
      </c>
      <c r="B239" s="44" t="inlineStr">
        <is>
          <t>Monday</t>
        </is>
      </c>
      <c r="C239" s="41" t="n">
        <v>0</v>
      </c>
      <c r="D239" s="44" t="inlineStr"/>
      <c r="E239" s="44" t="inlineStr"/>
      <c r="F239" s="44">
        <f>IFERROR(IF(AND(D239&lt;&gt;"",E239&lt;&gt;""),E239/D239,""),"")</f>
        <v/>
      </c>
      <c r="G239" s="44" t="inlineStr"/>
      <c r="H239" s="44" t="inlineStr"/>
      <c r="I239" s="44" t="inlineStr"/>
    </row>
    <row r="240" ht="22" customHeight="1">
      <c r="A240" s="39" t="n">
        <v>46259</v>
      </c>
      <c r="B240" s="40" t="inlineStr">
        <is>
          <t>Tuesday</t>
        </is>
      </c>
      <c r="C240" s="41" t="n">
        <v>0</v>
      </c>
      <c r="D240" s="40" t="inlineStr"/>
      <c r="E240" s="40" t="inlineStr"/>
      <c r="F240" s="40">
        <f>IFERROR(IF(AND(D240&lt;&gt;"",E240&lt;&gt;""),E240/D240,""),"")</f>
        <v/>
      </c>
      <c r="G240" s="40" t="inlineStr"/>
      <c r="H240" s="40" t="inlineStr"/>
      <c r="I240" s="40" t="inlineStr"/>
    </row>
    <row r="241" ht="22" customHeight="1">
      <c r="A241" s="43" t="n">
        <v>46260</v>
      </c>
      <c r="B241" s="44" t="inlineStr">
        <is>
          <t>Wednesday</t>
        </is>
      </c>
      <c r="C241" s="41" t="n">
        <v>0</v>
      </c>
      <c r="D241" s="44" t="inlineStr"/>
      <c r="E241" s="44" t="inlineStr"/>
      <c r="F241" s="44">
        <f>IFERROR(IF(AND(D241&lt;&gt;"",E241&lt;&gt;""),E241/D241,""),"")</f>
        <v/>
      </c>
      <c r="G241" s="44" t="inlineStr"/>
      <c r="H241" s="44" t="inlineStr"/>
      <c r="I241" s="44" t="inlineStr"/>
    </row>
    <row r="242" ht="22" customHeight="1">
      <c r="A242" s="39" t="n">
        <v>46261</v>
      </c>
      <c r="B242" s="40" t="inlineStr">
        <is>
          <t>Thursday</t>
        </is>
      </c>
      <c r="C242" s="41" t="n">
        <v>0</v>
      </c>
      <c r="D242" s="40" t="inlineStr"/>
      <c r="E242" s="40" t="inlineStr"/>
      <c r="F242" s="40">
        <f>IFERROR(IF(AND(D242&lt;&gt;"",E242&lt;&gt;""),E242/D242,""),"")</f>
        <v/>
      </c>
      <c r="G242" s="40" t="inlineStr"/>
      <c r="H242" s="40" t="inlineStr"/>
      <c r="I242" s="40" t="inlineStr"/>
    </row>
    <row r="243" ht="22" customHeight="1">
      <c r="A243" s="43" t="n">
        <v>46262</v>
      </c>
      <c r="B243" s="44" t="inlineStr">
        <is>
          <t>Friday</t>
        </is>
      </c>
      <c r="C243" s="41" t="n">
        <v>0</v>
      </c>
      <c r="D243" s="44" t="inlineStr"/>
      <c r="E243" s="44" t="inlineStr"/>
      <c r="F243" s="44">
        <f>IFERROR(IF(AND(D243&lt;&gt;"",E243&lt;&gt;""),E243/D243,""),"")</f>
        <v/>
      </c>
      <c r="G243" s="44" t="inlineStr"/>
      <c r="H243" s="44" t="inlineStr"/>
      <c r="I243" s="44" t="inlineStr"/>
    </row>
    <row r="244" ht="22" customHeight="1">
      <c r="A244" s="39" t="n">
        <v>46263</v>
      </c>
      <c r="B244" s="40" t="inlineStr">
        <is>
          <t>Saturday</t>
        </is>
      </c>
      <c r="C244" s="41" t="n">
        <v>0</v>
      </c>
      <c r="D244" s="40" t="inlineStr"/>
      <c r="E244" s="40" t="inlineStr"/>
      <c r="F244" s="40">
        <f>IFERROR(IF(AND(D244&lt;&gt;"",E244&lt;&gt;""),E244/D244,""),"")</f>
        <v/>
      </c>
      <c r="G244" s="40" t="inlineStr"/>
      <c r="H244" s="40" t="inlineStr"/>
      <c r="I244" s="40" t="inlineStr"/>
    </row>
    <row r="245" ht="22" customHeight="1">
      <c r="A245" s="43" t="n">
        <v>46264</v>
      </c>
      <c r="B245" s="44" t="inlineStr">
        <is>
          <t>Sunday</t>
        </is>
      </c>
      <c r="C245" s="41" t="n">
        <v>0</v>
      </c>
      <c r="D245" s="44" t="inlineStr"/>
      <c r="E245" s="44" t="inlineStr"/>
      <c r="F245" s="44">
        <f>IFERROR(IF(AND(D245&lt;&gt;"",E245&lt;&gt;""),E245/D245,""),"")</f>
        <v/>
      </c>
      <c r="G245" s="44" t="inlineStr"/>
      <c r="H245" s="44" t="inlineStr"/>
      <c r="I245" s="44" t="inlineStr"/>
    </row>
    <row r="246" ht="22" customHeight="1">
      <c r="A246" s="39" t="n">
        <v>46265</v>
      </c>
      <c r="B246" s="40" t="inlineStr">
        <is>
          <t>Monday</t>
        </is>
      </c>
      <c r="C246" s="41" t="n">
        <v>0</v>
      </c>
      <c r="D246" s="40" t="inlineStr"/>
      <c r="E246" s="40" t="inlineStr"/>
      <c r="F246" s="40">
        <f>IFERROR(IF(AND(D246&lt;&gt;"",E246&lt;&gt;""),E246/D246,""),"")</f>
        <v/>
      </c>
      <c r="G246" s="40" t="inlineStr"/>
      <c r="H246" s="40" t="inlineStr"/>
      <c r="I246" s="40" t="inlineStr"/>
    </row>
    <row r="247" ht="22" customHeight="1">
      <c r="A247" s="43" t="n">
        <v>46266</v>
      </c>
      <c r="B247" s="44" t="inlineStr">
        <is>
          <t>Tuesday</t>
        </is>
      </c>
      <c r="C247" s="41" t="n">
        <v>0</v>
      </c>
      <c r="D247" s="44" t="inlineStr"/>
      <c r="E247" s="44" t="inlineStr"/>
      <c r="F247" s="44">
        <f>IFERROR(IF(AND(D247&lt;&gt;"",E247&lt;&gt;""),E247/D247,""),"")</f>
        <v/>
      </c>
      <c r="G247" s="44" t="inlineStr"/>
      <c r="H247" s="44" t="inlineStr"/>
      <c r="I247" s="44" t="inlineStr"/>
    </row>
    <row r="248" ht="22" customHeight="1">
      <c r="A248" s="39" t="n">
        <v>46267</v>
      </c>
      <c r="B248" s="40" t="inlineStr">
        <is>
          <t>Wednesday</t>
        </is>
      </c>
      <c r="C248" s="41" t="n">
        <v>0</v>
      </c>
      <c r="D248" s="40" t="inlineStr"/>
      <c r="E248" s="40" t="inlineStr"/>
      <c r="F248" s="40">
        <f>IFERROR(IF(AND(D248&lt;&gt;"",E248&lt;&gt;""),E248/D248,""),"")</f>
        <v/>
      </c>
      <c r="G248" s="40" t="inlineStr"/>
      <c r="H248" s="40" t="inlineStr"/>
      <c r="I248" s="40" t="inlineStr"/>
    </row>
    <row r="249" ht="22" customHeight="1">
      <c r="A249" s="43" t="n">
        <v>46268</v>
      </c>
      <c r="B249" s="44" t="inlineStr">
        <is>
          <t>Thursday</t>
        </is>
      </c>
      <c r="C249" s="41" t="n">
        <v>0</v>
      </c>
      <c r="D249" s="44" t="inlineStr"/>
      <c r="E249" s="44" t="inlineStr"/>
      <c r="F249" s="44">
        <f>IFERROR(IF(AND(D249&lt;&gt;"",E249&lt;&gt;""),E249/D249,""),"")</f>
        <v/>
      </c>
      <c r="G249" s="44" t="inlineStr"/>
      <c r="H249" s="44" t="inlineStr"/>
      <c r="I249" s="44" t="inlineStr"/>
    </row>
    <row r="250" ht="22" customHeight="1">
      <c r="A250" s="39" t="n">
        <v>46269</v>
      </c>
      <c r="B250" s="40" t="inlineStr">
        <is>
          <t>Friday</t>
        </is>
      </c>
      <c r="C250" s="41" t="n">
        <v>0</v>
      </c>
      <c r="D250" s="40" t="inlineStr"/>
      <c r="E250" s="40" t="inlineStr"/>
      <c r="F250" s="40">
        <f>IFERROR(IF(AND(D250&lt;&gt;"",E250&lt;&gt;""),E250/D250,""),"")</f>
        <v/>
      </c>
      <c r="G250" s="40" t="inlineStr"/>
      <c r="H250" s="40" t="inlineStr"/>
      <c r="I250" s="40" t="inlineStr"/>
    </row>
    <row r="251" ht="22" customHeight="1">
      <c r="A251" s="43" t="n">
        <v>46270</v>
      </c>
      <c r="B251" s="44" t="inlineStr">
        <is>
          <t>Saturday</t>
        </is>
      </c>
      <c r="C251" s="41" t="n">
        <v>0</v>
      </c>
      <c r="D251" s="44" t="inlineStr"/>
      <c r="E251" s="44" t="inlineStr"/>
      <c r="F251" s="44">
        <f>IFERROR(IF(AND(D251&lt;&gt;"",E251&lt;&gt;""),E251/D251,""),"")</f>
        <v/>
      </c>
      <c r="G251" s="44" t="inlineStr"/>
      <c r="H251" s="44" t="inlineStr"/>
      <c r="I251" s="44" t="inlineStr"/>
    </row>
    <row r="252" ht="22" customHeight="1">
      <c r="A252" s="39" t="n">
        <v>46271</v>
      </c>
      <c r="B252" s="40" t="inlineStr">
        <is>
          <t>Sunday</t>
        </is>
      </c>
      <c r="C252" s="41" t="n">
        <v>0</v>
      </c>
      <c r="D252" s="40" t="inlineStr"/>
      <c r="E252" s="40" t="inlineStr"/>
      <c r="F252" s="40">
        <f>IFERROR(IF(AND(D252&lt;&gt;"",E252&lt;&gt;""),E252/D252,""),"")</f>
        <v/>
      </c>
      <c r="G252" s="40" t="inlineStr"/>
      <c r="H252" s="40" t="inlineStr"/>
      <c r="I252" s="40" t="inlineStr"/>
    </row>
    <row r="253" ht="22" customHeight="1">
      <c r="A253" s="43" t="n">
        <v>46272</v>
      </c>
      <c r="B253" s="44" t="inlineStr">
        <is>
          <t>Monday</t>
        </is>
      </c>
      <c r="C253" s="41" t="n">
        <v>0</v>
      </c>
      <c r="D253" s="44" t="inlineStr"/>
      <c r="E253" s="44" t="inlineStr"/>
      <c r="F253" s="44">
        <f>IFERROR(IF(AND(D253&lt;&gt;"",E253&lt;&gt;""),E253/D253,""),"")</f>
        <v/>
      </c>
      <c r="G253" s="44" t="inlineStr"/>
      <c r="H253" s="44" t="inlineStr"/>
      <c r="I253" s="44" t="inlineStr"/>
    </row>
    <row r="254" ht="22" customHeight="1">
      <c r="A254" s="39" t="n">
        <v>46273</v>
      </c>
      <c r="B254" s="40" t="inlineStr">
        <is>
          <t>Tuesday</t>
        </is>
      </c>
      <c r="C254" s="41" t="n">
        <v>0</v>
      </c>
      <c r="D254" s="40" t="inlineStr"/>
      <c r="E254" s="40" t="inlineStr"/>
      <c r="F254" s="40">
        <f>IFERROR(IF(AND(D254&lt;&gt;"",E254&lt;&gt;""),E254/D254,""),"")</f>
        <v/>
      </c>
      <c r="G254" s="40" t="inlineStr"/>
      <c r="H254" s="40" t="inlineStr"/>
      <c r="I254" s="40" t="inlineStr"/>
    </row>
    <row r="255" ht="22" customHeight="1">
      <c r="A255" s="43" t="n">
        <v>46274</v>
      </c>
      <c r="B255" s="44" t="inlineStr">
        <is>
          <t>Wednesday</t>
        </is>
      </c>
      <c r="C255" s="41" t="n">
        <v>0</v>
      </c>
      <c r="D255" s="44" t="inlineStr"/>
      <c r="E255" s="44" t="inlineStr"/>
      <c r="F255" s="44">
        <f>IFERROR(IF(AND(D255&lt;&gt;"",E255&lt;&gt;""),E255/D255,""),"")</f>
        <v/>
      </c>
      <c r="G255" s="44" t="inlineStr"/>
      <c r="H255" s="44" t="inlineStr"/>
      <c r="I255" s="44" t="inlineStr"/>
    </row>
    <row r="256" ht="22" customHeight="1">
      <c r="A256" s="39" t="n">
        <v>46275</v>
      </c>
      <c r="B256" s="40" t="inlineStr">
        <is>
          <t>Thursday</t>
        </is>
      </c>
      <c r="C256" s="41" t="n">
        <v>0</v>
      </c>
      <c r="D256" s="40" t="inlineStr"/>
      <c r="E256" s="40" t="inlineStr"/>
      <c r="F256" s="40">
        <f>IFERROR(IF(AND(D256&lt;&gt;"",E256&lt;&gt;""),E256/D256,""),"")</f>
        <v/>
      </c>
      <c r="G256" s="40" t="inlineStr"/>
      <c r="H256" s="40" t="inlineStr"/>
      <c r="I256" s="40" t="inlineStr"/>
    </row>
    <row r="257" ht="22" customHeight="1">
      <c r="A257" s="43" t="n">
        <v>46276</v>
      </c>
      <c r="B257" s="44" t="inlineStr">
        <is>
          <t>Friday</t>
        </is>
      </c>
      <c r="C257" s="41" t="n">
        <v>0</v>
      </c>
      <c r="D257" s="44" t="inlineStr"/>
      <c r="E257" s="44" t="inlineStr"/>
      <c r="F257" s="44">
        <f>IFERROR(IF(AND(D257&lt;&gt;"",E257&lt;&gt;""),E257/D257,""),"")</f>
        <v/>
      </c>
      <c r="G257" s="44" t="inlineStr"/>
      <c r="H257" s="44" t="inlineStr"/>
      <c r="I257" s="44" t="inlineStr"/>
    </row>
    <row r="258" ht="22" customHeight="1">
      <c r="A258" s="39" t="n">
        <v>46277</v>
      </c>
      <c r="B258" s="40" t="inlineStr">
        <is>
          <t>Saturday</t>
        </is>
      </c>
      <c r="C258" s="41" t="n">
        <v>0</v>
      </c>
      <c r="D258" s="40" t="inlineStr"/>
      <c r="E258" s="40" t="inlineStr"/>
      <c r="F258" s="40">
        <f>IFERROR(IF(AND(D258&lt;&gt;"",E258&lt;&gt;""),E258/D258,""),"")</f>
        <v/>
      </c>
      <c r="G258" s="40" t="inlineStr"/>
      <c r="H258" s="40" t="inlineStr"/>
      <c r="I258" s="40" t="inlineStr"/>
    </row>
    <row r="259" ht="22" customHeight="1">
      <c r="A259" s="43" t="n">
        <v>46278</v>
      </c>
      <c r="B259" s="44" t="inlineStr">
        <is>
          <t>Sunday</t>
        </is>
      </c>
      <c r="C259" s="41" t="n">
        <v>0</v>
      </c>
      <c r="D259" s="44" t="inlineStr"/>
      <c r="E259" s="44" t="inlineStr"/>
      <c r="F259" s="44">
        <f>IFERROR(IF(AND(D259&lt;&gt;"",E259&lt;&gt;""),E259/D259,""),"")</f>
        <v/>
      </c>
      <c r="G259" s="44" t="inlineStr"/>
      <c r="H259" s="44" t="inlineStr"/>
      <c r="I259" s="44" t="inlineStr"/>
    </row>
    <row r="260" ht="22" customHeight="1">
      <c r="A260" s="39" t="n">
        <v>46279</v>
      </c>
      <c r="B260" s="40" t="inlineStr">
        <is>
          <t>Monday</t>
        </is>
      </c>
      <c r="C260" s="41" t="n">
        <v>0</v>
      </c>
      <c r="D260" s="40" t="inlineStr"/>
      <c r="E260" s="40" t="inlineStr"/>
      <c r="F260" s="40">
        <f>IFERROR(IF(AND(D260&lt;&gt;"",E260&lt;&gt;""),E260/D260,""),"")</f>
        <v/>
      </c>
      <c r="G260" s="40" t="inlineStr"/>
      <c r="H260" s="40" t="inlineStr"/>
      <c r="I260" s="40" t="inlineStr"/>
    </row>
    <row r="261" ht="22" customHeight="1">
      <c r="A261" s="43" t="n">
        <v>46280</v>
      </c>
      <c r="B261" s="44" t="inlineStr">
        <is>
          <t>Tuesday</t>
        </is>
      </c>
      <c r="C261" s="41" t="n">
        <v>0</v>
      </c>
      <c r="D261" s="44" t="inlineStr"/>
      <c r="E261" s="44" t="inlineStr"/>
      <c r="F261" s="44">
        <f>IFERROR(IF(AND(D261&lt;&gt;"",E261&lt;&gt;""),E261/D261,""),"")</f>
        <v/>
      </c>
      <c r="G261" s="44" t="inlineStr"/>
      <c r="H261" s="44" t="inlineStr"/>
      <c r="I261" s="44" t="inlineStr"/>
    </row>
    <row r="262" ht="22" customHeight="1">
      <c r="A262" s="39" t="n">
        <v>46281</v>
      </c>
      <c r="B262" s="40" t="inlineStr">
        <is>
          <t>Wednesday</t>
        </is>
      </c>
      <c r="C262" s="41" t="n">
        <v>0</v>
      </c>
      <c r="D262" s="40" t="inlineStr"/>
      <c r="E262" s="40" t="inlineStr"/>
      <c r="F262" s="40">
        <f>IFERROR(IF(AND(D262&lt;&gt;"",E262&lt;&gt;""),E262/D262,""),"")</f>
        <v/>
      </c>
      <c r="G262" s="40" t="inlineStr"/>
      <c r="H262" s="40" t="inlineStr"/>
      <c r="I262" s="40" t="inlineStr"/>
    </row>
    <row r="263" ht="22" customHeight="1">
      <c r="A263" s="43" t="n">
        <v>46282</v>
      </c>
      <c r="B263" s="44" t="inlineStr">
        <is>
          <t>Thursday</t>
        </is>
      </c>
      <c r="C263" s="41" t="n">
        <v>0</v>
      </c>
      <c r="D263" s="44" t="inlineStr"/>
      <c r="E263" s="44" t="inlineStr"/>
      <c r="F263" s="44">
        <f>IFERROR(IF(AND(D263&lt;&gt;"",E263&lt;&gt;""),E263/D263,""),"")</f>
        <v/>
      </c>
      <c r="G263" s="44" t="inlineStr"/>
      <c r="H263" s="44" t="inlineStr"/>
      <c r="I263" s="44" t="inlineStr"/>
    </row>
    <row r="264" ht="22" customHeight="1">
      <c r="A264" s="39" t="n">
        <v>46283</v>
      </c>
      <c r="B264" s="40" t="inlineStr">
        <is>
          <t>Friday</t>
        </is>
      </c>
      <c r="C264" s="41" t="n">
        <v>0</v>
      </c>
      <c r="D264" s="40" t="inlineStr"/>
      <c r="E264" s="40" t="inlineStr"/>
      <c r="F264" s="40">
        <f>IFERROR(IF(AND(D264&lt;&gt;"",E264&lt;&gt;""),E264/D264,""),"")</f>
        <v/>
      </c>
      <c r="G264" s="40" t="inlineStr"/>
      <c r="H264" s="40" t="inlineStr"/>
      <c r="I264" s="40" t="inlineStr"/>
    </row>
    <row r="265" ht="22" customHeight="1">
      <c r="A265" s="43" t="n">
        <v>46284</v>
      </c>
      <c r="B265" s="44" t="inlineStr">
        <is>
          <t>Saturday</t>
        </is>
      </c>
      <c r="C265" s="41" t="n">
        <v>0</v>
      </c>
      <c r="D265" s="44" t="inlineStr"/>
      <c r="E265" s="44" t="inlineStr"/>
      <c r="F265" s="44">
        <f>IFERROR(IF(AND(D265&lt;&gt;"",E265&lt;&gt;""),E265/D265,""),"")</f>
        <v/>
      </c>
      <c r="G265" s="44" t="inlineStr"/>
      <c r="H265" s="44" t="inlineStr"/>
      <c r="I265" s="44" t="inlineStr"/>
    </row>
    <row r="266" ht="22" customHeight="1">
      <c r="A266" s="39" t="n">
        <v>46285</v>
      </c>
      <c r="B266" s="40" t="inlineStr">
        <is>
          <t>Sunday</t>
        </is>
      </c>
      <c r="C266" s="41" t="n">
        <v>0</v>
      </c>
      <c r="D266" s="40" t="inlineStr"/>
      <c r="E266" s="40" t="inlineStr"/>
      <c r="F266" s="40">
        <f>IFERROR(IF(AND(D266&lt;&gt;"",E266&lt;&gt;""),E266/D266,""),"")</f>
        <v/>
      </c>
      <c r="G266" s="40" t="inlineStr"/>
      <c r="H266" s="40" t="inlineStr"/>
      <c r="I266" s="40" t="inlineStr"/>
    </row>
    <row r="267" ht="22" customHeight="1">
      <c r="A267" s="43" t="n">
        <v>46286</v>
      </c>
      <c r="B267" s="44" t="inlineStr">
        <is>
          <t>Monday</t>
        </is>
      </c>
      <c r="C267" s="41" t="n">
        <v>0</v>
      </c>
      <c r="D267" s="44" t="inlineStr"/>
      <c r="E267" s="44" t="inlineStr"/>
      <c r="F267" s="44">
        <f>IFERROR(IF(AND(D267&lt;&gt;"",E267&lt;&gt;""),E267/D267,""),"")</f>
        <v/>
      </c>
      <c r="G267" s="44" t="inlineStr"/>
      <c r="H267" s="44" t="inlineStr"/>
      <c r="I267" s="44" t="inlineStr"/>
    </row>
    <row r="268" ht="22" customHeight="1">
      <c r="A268" s="39" t="n">
        <v>46287</v>
      </c>
      <c r="B268" s="40" t="inlineStr">
        <is>
          <t>Tuesday</t>
        </is>
      </c>
      <c r="C268" s="41" t="n">
        <v>0</v>
      </c>
      <c r="D268" s="40" t="inlineStr"/>
      <c r="E268" s="40" t="inlineStr"/>
      <c r="F268" s="40">
        <f>IFERROR(IF(AND(D268&lt;&gt;"",E268&lt;&gt;""),E268/D268,""),"")</f>
        <v/>
      </c>
      <c r="G268" s="40" t="inlineStr"/>
      <c r="H268" s="40" t="inlineStr"/>
      <c r="I268" s="40" t="inlineStr"/>
    </row>
    <row r="269" ht="22" customHeight="1">
      <c r="A269" s="43" t="n">
        <v>46288</v>
      </c>
      <c r="B269" s="44" t="inlineStr">
        <is>
          <t>Wednesday</t>
        </is>
      </c>
      <c r="C269" s="41" t="n">
        <v>0</v>
      </c>
      <c r="D269" s="44" t="inlineStr"/>
      <c r="E269" s="44" t="inlineStr"/>
      <c r="F269" s="44">
        <f>IFERROR(IF(AND(D269&lt;&gt;"",E269&lt;&gt;""),E269/D269,""),"")</f>
        <v/>
      </c>
      <c r="G269" s="44" t="inlineStr"/>
      <c r="H269" s="44" t="inlineStr"/>
      <c r="I269" s="44" t="inlineStr"/>
    </row>
    <row r="270" ht="22" customHeight="1">
      <c r="A270" s="39" t="n">
        <v>46289</v>
      </c>
      <c r="B270" s="40" t="inlineStr">
        <is>
          <t>Thursday</t>
        </is>
      </c>
      <c r="C270" s="41" t="n">
        <v>0</v>
      </c>
      <c r="D270" s="40" t="inlineStr"/>
      <c r="E270" s="40" t="inlineStr"/>
      <c r="F270" s="40">
        <f>IFERROR(IF(AND(D270&lt;&gt;"",E270&lt;&gt;""),E270/D270,""),"")</f>
        <v/>
      </c>
      <c r="G270" s="40" t="inlineStr"/>
      <c r="H270" s="40" t="inlineStr"/>
      <c r="I270" s="40" t="inlineStr"/>
    </row>
    <row r="271" ht="22" customHeight="1">
      <c r="A271" s="43" t="n">
        <v>46290</v>
      </c>
      <c r="B271" s="44" t="inlineStr">
        <is>
          <t>Friday</t>
        </is>
      </c>
      <c r="C271" s="41" t="n">
        <v>0</v>
      </c>
      <c r="D271" s="44" t="inlineStr"/>
      <c r="E271" s="44" t="inlineStr"/>
      <c r="F271" s="44">
        <f>IFERROR(IF(AND(D271&lt;&gt;"",E271&lt;&gt;""),E271/D271,""),"")</f>
        <v/>
      </c>
      <c r="G271" s="44" t="inlineStr"/>
      <c r="H271" s="44" t="inlineStr"/>
      <c r="I271" s="44" t="inlineStr"/>
    </row>
    <row r="272" ht="22" customHeight="1">
      <c r="A272" s="39" t="n">
        <v>46291</v>
      </c>
      <c r="B272" s="40" t="inlineStr">
        <is>
          <t>Saturday</t>
        </is>
      </c>
      <c r="C272" s="41" t="n">
        <v>0</v>
      </c>
      <c r="D272" s="40" t="inlineStr"/>
      <c r="E272" s="40" t="inlineStr"/>
      <c r="F272" s="40">
        <f>IFERROR(IF(AND(D272&lt;&gt;"",E272&lt;&gt;""),E272/D272,""),"")</f>
        <v/>
      </c>
      <c r="G272" s="40" t="inlineStr"/>
      <c r="H272" s="40" t="inlineStr"/>
      <c r="I272" s="40" t="inlineStr"/>
    </row>
    <row r="273" ht="22" customHeight="1">
      <c r="A273" s="43" t="n">
        <v>46292</v>
      </c>
      <c r="B273" s="44" t="inlineStr">
        <is>
          <t>Sunday</t>
        </is>
      </c>
      <c r="C273" s="41" t="n">
        <v>0</v>
      </c>
      <c r="D273" s="44" t="inlineStr"/>
      <c r="E273" s="44" t="inlineStr"/>
      <c r="F273" s="44">
        <f>IFERROR(IF(AND(D273&lt;&gt;"",E273&lt;&gt;""),E273/D273,""),"")</f>
        <v/>
      </c>
      <c r="G273" s="44" t="inlineStr"/>
      <c r="H273" s="44" t="inlineStr"/>
      <c r="I273" s="44" t="inlineStr"/>
    </row>
    <row r="274" ht="22" customHeight="1">
      <c r="A274" s="39" t="n">
        <v>46293</v>
      </c>
      <c r="B274" s="40" t="inlineStr">
        <is>
          <t>Monday</t>
        </is>
      </c>
      <c r="C274" s="41" t="n">
        <v>0</v>
      </c>
      <c r="D274" s="40" t="inlineStr"/>
      <c r="E274" s="40" t="inlineStr"/>
      <c r="F274" s="40">
        <f>IFERROR(IF(AND(D274&lt;&gt;"",E274&lt;&gt;""),E274/D274,""),"")</f>
        <v/>
      </c>
      <c r="G274" s="40" t="inlineStr"/>
      <c r="H274" s="40" t="inlineStr"/>
      <c r="I274" s="40" t="inlineStr"/>
    </row>
    <row r="275" ht="22" customHeight="1">
      <c r="A275" s="43" t="n">
        <v>46294</v>
      </c>
      <c r="B275" s="44" t="inlineStr">
        <is>
          <t>Tuesday</t>
        </is>
      </c>
      <c r="C275" s="41" t="n">
        <v>0</v>
      </c>
      <c r="D275" s="44" t="inlineStr"/>
      <c r="E275" s="44" t="inlineStr"/>
      <c r="F275" s="44">
        <f>IFERROR(IF(AND(D275&lt;&gt;"",E275&lt;&gt;""),E275/D275,""),"")</f>
        <v/>
      </c>
      <c r="G275" s="44" t="inlineStr"/>
      <c r="H275" s="44" t="inlineStr"/>
      <c r="I275" s="44" t="inlineStr"/>
    </row>
    <row r="276" ht="22" customHeight="1">
      <c r="A276" s="39" t="n">
        <v>46295</v>
      </c>
      <c r="B276" s="40" t="inlineStr">
        <is>
          <t>Wednesday</t>
        </is>
      </c>
      <c r="C276" s="41" t="n">
        <v>0</v>
      </c>
      <c r="D276" s="40" t="inlineStr"/>
      <c r="E276" s="40" t="inlineStr"/>
      <c r="F276" s="40">
        <f>IFERROR(IF(AND(D276&lt;&gt;"",E276&lt;&gt;""),E276/D276,""),"")</f>
        <v/>
      </c>
      <c r="G276" s="40" t="inlineStr"/>
      <c r="H276" s="40" t="inlineStr"/>
      <c r="I276" s="40" t="inlineStr"/>
    </row>
    <row r="277" ht="22" customHeight="1">
      <c r="A277" s="43" t="n">
        <v>46296</v>
      </c>
      <c r="B277" s="44" t="inlineStr">
        <is>
          <t>Thursday</t>
        </is>
      </c>
      <c r="C277" s="41" t="n">
        <v>0</v>
      </c>
      <c r="D277" s="44" t="inlineStr"/>
      <c r="E277" s="44" t="inlineStr"/>
      <c r="F277" s="44">
        <f>IFERROR(IF(AND(D277&lt;&gt;"",E277&lt;&gt;""),E277/D277,""),"")</f>
        <v/>
      </c>
      <c r="G277" s="44" t="inlineStr"/>
      <c r="H277" s="44" t="inlineStr"/>
      <c r="I277" s="44" t="inlineStr"/>
    </row>
    <row r="278" ht="22" customHeight="1">
      <c r="A278" s="39" t="n">
        <v>46297</v>
      </c>
      <c r="B278" s="40" t="inlineStr">
        <is>
          <t>Friday</t>
        </is>
      </c>
      <c r="C278" s="41" t="n">
        <v>0</v>
      </c>
      <c r="D278" s="40" t="inlineStr"/>
      <c r="E278" s="40" t="inlineStr"/>
      <c r="F278" s="40">
        <f>IFERROR(IF(AND(D278&lt;&gt;"",E278&lt;&gt;""),E278/D278,""),"")</f>
        <v/>
      </c>
      <c r="G278" s="40" t="inlineStr"/>
      <c r="H278" s="40" t="inlineStr"/>
      <c r="I278" s="40" t="inlineStr"/>
    </row>
    <row r="279" ht="22" customHeight="1">
      <c r="A279" s="43" t="n">
        <v>46298</v>
      </c>
      <c r="B279" s="44" t="inlineStr">
        <is>
          <t>Saturday</t>
        </is>
      </c>
      <c r="C279" s="41" t="n">
        <v>0</v>
      </c>
      <c r="D279" s="44" t="inlineStr"/>
      <c r="E279" s="44" t="inlineStr"/>
      <c r="F279" s="44">
        <f>IFERROR(IF(AND(D279&lt;&gt;"",E279&lt;&gt;""),E279/D279,""),"")</f>
        <v/>
      </c>
      <c r="G279" s="44" t="inlineStr"/>
      <c r="H279" s="44" t="inlineStr"/>
      <c r="I279" s="44" t="inlineStr"/>
    </row>
    <row r="280" ht="22" customHeight="1">
      <c r="A280" s="39" t="n">
        <v>46299</v>
      </c>
      <c r="B280" s="40" t="inlineStr">
        <is>
          <t>Sunday</t>
        </is>
      </c>
      <c r="C280" s="41" t="n">
        <v>0</v>
      </c>
      <c r="D280" s="40" t="inlineStr"/>
      <c r="E280" s="40" t="inlineStr"/>
      <c r="F280" s="40">
        <f>IFERROR(IF(AND(D280&lt;&gt;"",E280&lt;&gt;""),E280/D280,""),"")</f>
        <v/>
      </c>
      <c r="G280" s="40" t="inlineStr"/>
      <c r="H280" s="40" t="inlineStr"/>
      <c r="I280" s="40" t="inlineStr"/>
    </row>
    <row r="281" ht="22" customHeight="1">
      <c r="A281" s="43" t="n">
        <v>46300</v>
      </c>
      <c r="B281" s="44" t="inlineStr">
        <is>
          <t>Monday</t>
        </is>
      </c>
      <c r="C281" s="41" t="n">
        <v>0</v>
      </c>
      <c r="D281" s="44" t="inlineStr"/>
      <c r="E281" s="44" t="inlineStr"/>
      <c r="F281" s="44">
        <f>IFERROR(IF(AND(D281&lt;&gt;"",E281&lt;&gt;""),E281/D281,""),"")</f>
        <v/>
      </c>
      <c r="G281" s="44" t="inlineStr"/>
      <c r="H281" s="44" t="inlineStr"/>
      <c r="I281" s="44" t="inlineStr"/>
    </row>
    <row r="282" ht="22" customHeight="1">
      <c r="A282" s="39" t="n">
        <v>46301</v>
      </c>
      <c r="B282" s="40" t="inlineStr">
        <is>
          <t>Tuesday</t>
        </is>
      </c>
      <c r="C282" s="41" t="n">
        <v>0</v>
      </c>
      <c r="D282" s="40" t="inlineStr"/>
      <c r="E282" s="40" t="inlineStr"/>
      <c r="F282" s="40">
        <f>IFERROR(IF(AND(D282&lt;&gt;"",E282&lt;&gt;""),E282/D282,""),"")</f>
        <v/>
      </c>
      <c r="G282" s="40" t="inlineStr"/>
      <c r="H282" s="40" t="inlineStr"/>
      <c r="I282" s="40" t="inlineStr"/>
    </row>
    <row r="283" ht="22" customHeight="1">
      <c r="A283" s="43" t="n">
        <v>46302</v>
      </c>
      <c r="B283" s="44" t="inlineStr">
        <is>
          <t>Wednesday</t>
        </is>
      </c>
      <c r="C283" s="41" t="n">
        <v>0</v>
      </c>
      <c r="D283" s="44" t="inlineStr"/>
      <c r="E283" s="44" t="inlineStr"/>
      <c r="F283" s="44">
        <f>IFERROR(IF(AND(D283&lt;&gt;"",E283&lt;&gt;""),E283/D283,""),"")</f>
        <v/>
      </c>
      <c r="G283" s="44" t="inlineStr"/>
      <c r="H283" s="44" t="inlineStr"/>
      <c r="I283" s="44" t="inlineStr"/>
    </row>
    <row r="284" ht="22" customHeight="1">
      <c r="A284" s="39" t="n">
        <v>46303</v>
      </c>
      <c r="B284" s="40" t="inlineStr">
        <is>
          <t>Thursday</t>
        </is>
      </c>
      <c r="C284" s="41" t="n">
        <v>0</v>
      </c>
      <c r="D284" s="40" t="inlineStr"/>
      <c r="E284" s="40" t="inlineStr"/>
      <c r="F284" s="40">
        <f>IFERROR(IF(AND(D284&lt;&gt;"",E284&lt;&gt;""),E284/D284,""),"")</f>
        <v/>
      </c>
      <c r="G284" s="40" t="inlineStr"/>
      <c r="H284" s="40" t="inlineStr"/>
      <c r="I284" s="40" t="inlineStr"/>
    </row>
    <row r="285" ht="22" customHeight="1">
      <c r="A285" s="43" t="n">
        <v>46304</v>
      </c>
      <c r="B285" s="44" t="inlineStr">
        <is>
          <t>Friday</t>
        </is>
      </c>
      <c r="C285" s="41" t="n">
        <v>0</v>
      </c>
      <c r="D285" s="44" t="inlineStr"/>
      <c r="E285" s="44" t="inlineStr"/>
      <c r="F285" s="44">
        <f>IFERROR(IF(AND(D285&lt;&gt;"",E285&lt;&gt;""),E285/D285,""),"")</f>
        <v/>
      </c>
      <c r="G285" s="44" t="inlineStr"/>
      <c r="H285" s="44" t="inlineStr"/>
      <c r="I285" s="44" t="inlineStr"/>
    </row>
    <row r="286" ht="22" customHeight="1">
      <c r="A286" s="39" t="n">
        <v>46305</v>
      </c>
      <c r="B286" s="40" t="inlineStr">
        <is>
          <t>Saturday</t>
        </is>
      </c>
      <c r="C286" s="41" t="n">
        <v>0</v>
      </c>
      <c r="D286" s="40" t="inlineStr"/>
      <c r="E286" s="40" t="inlineStr"/>
      <c r="F286" s="40">
        <f>IFERROR(IF(AND(D286&lt;&gt;"",E286&lt;&gt;""),E286/D286,""),"")</f>
        <v/>
      </c>
      <c r="G286" s="40" t="inlineStr"/>
      <c r="H286" s="40" t="inlineStr"/>
      <c r="I286" s="40" t="inlineStr"/>
    </row>
    <row r="287" ht="22" customHeight="1">
      <c r="A287" s="43" t="n">
        <v>46306</v>
      </c>
      <c r="B287" s="44" t="inlineStr">
        <is>
          <t>Sunday</t>
        </is>
      </c>
      <c r="C287" s="41" t="n">
        <v>0</v>
      </c>
      <c r="D287" s="44" t="inlineStr"/>
      <c r="E287" s="44" t="inlineStr"/>
      <c r="F287" s="44">
        <f>IFERROR(IF(AND(D287&lt;&gt;"",E287&lt;&gt;""),E287/D287,""),"")</f>
        <v/>
      </c>
      <c r="G287" s="44" t="inlineStr"/>
      <c r="H287" s="44" t="inlineStr"/>
      <c r="I287" s="44" t="inlineStr"/>
    </row>
    <row r="288" ht="22" customHeight="1">
      <c r="A288" s="39" t="n">
        <v>46307</v>
      </c>
      <c r="B288" s="40" t="inlineStr">
        <is>
          <t>Monday</t>
        </is>
      </c>
      <c r="C288" s="41" t="n">
        <v>0</v>
      </c>
      <c r="D288" s="40" t="inlineStr"/>
      <c r="E288" s="40" t="inlineStr"/>
      <c r="F288" s="40">
        <f>IFERROR(IF(AND(D288&lt;&gt;"",E288&lt;&gt;""),E288/D288,""),"")</f>
        <v/>
      </c>
      <c r="G288" s="40" t="inlineStr"/>
      <c r="H288" s="40" t="inlineStr"/>
      <c r="I288" s="40" t="inlineStr"/>
    </row>
    <row r="289" ht="22" customHeight="1">
      <c r="A289" s="43" t="n">
        <v>46308</v>
      </c>
      <c r="B289" s="44" t="inlineStr">
        <is>
          <t>Tuesday</t>
        </is>
      </c>
      <c r="C289" s="41" t="n">
        <v>0</v>
      </c>
      <c r="D289" s="44" t="inlineStr"/>
      <c r="E289" s="44" t="inlineStr"/>
      <c r="F289" s="44">
        <f>IFERROR(IF(AND(D289&lt;&gt;"",E289&lt;&gt;""),E289/D289,""),"")</f>
        <v/>
      </c>
      <c r="G289" s="44" t="inlineStr"/>
      <c r="H289" s="44" t="inlineStr"/>
      <c r="I289" s="44" t="inlineStr"/>
    </row>
    <row r="290" ht="22" customHeight="1">
      <c r="A290" s="39" t="n">
        <v>46309</v>
      </c>
      <c r="B290" s="40" t="inlineStr">
        <is>
          <t>Wednesday</t>
        </is>
      </c>
      <c r="C290" s="41" t="n">
        <v>0</v>
      </c>
      <c r="D290" s="40" t="inlineStr"/>
      <c r="E290" s="40" t="inlineStr"/>
      <c r="F290" s="40">
        <f>IFERROR(IF(AND(D290&lt;&gt;"",E290&lt;&gt;""),E290/D290,""),"")</f>
        <v/>
      </c>
      <c r="G290" s="40" t="inlineStr"/>
      <c r="H290" s="40" t="inlineStr"/>
      <c r="I290" s="40" t="inlineStr"/>
    </row>
    <row r="291" ht="22" customHeight="1">
      <c r="A291" s="43" t="n">
        <v>46310</v>
      </c>
      <c r="B291" s="44" t="inlineStr">
        <is>
          <t>Thursday</t>
        </is>
      </c>
      <c r="C291" s="41" t="n">
        <v>0</v>
      </c>
      <c r="D291" s="44" t="inlineStr"/>
      <c r="E291" s="44" t="inlineStr"/>
      <c r="F291" s="44">
        <f>IFERROR(IF(AND(D291&lt;&gt;"",E291&lt;&gt;""),E291/D291,""),"")</f>
        <v/>
      </c>
      <c r="G291" s="44" t="inlineStr"/>
      <c r="H291" s="44" t="inlineStr"/>
      <c r="I291" s="44" t="inlineStr"/>
    </row>
    <row r="292" ht="22" customHeight="1">
      <c r="A292" s="39" t="n">
        <v>46311</v>
      </c>
      <c r="B292" s="40" t="inlineStr">
        <is>
          <t>Friday</t>
        </is>
      </c>
      <c r="C292" s="41" t="n">
        <v>0</v>
      </c>
      <c r="D292" s="40" t="inlineStr"/>
      <c r="E292" s="40" t="inlineStr"/>
      <c r="F292" s="40">
        <f>IFERROR(IF(AND(D292&lt;&gt;"",E292&lt;&gt;""),E292/D292,""),"")</f>
        <v/>
      </c>
      <c r="G292" s="40" t="inlineStr"/>
      <c r="H292" s="40" t="inlineStr"/>
      <c r="I292" s="40" t="inlineStr"/>
    </row>
    <row r="293" ht="22" customHeight="1">
      <c r="A293" s="43" t="n">
        <v>46312</v>
      </c>
      <c r="B293" s="44" t="inlineStr">
        <is>
          <t>Saturday</t>
        </is>
      </c>
      <c r="C293" s="41" t="n">
        <v>0</v>
      </c>
      <c r="D293" s="44" t="inlineStr"/>
      <c r="E293" s="44" t="inlineStr"/>
      <c r="F293" s="44">
        <f>IFERROR(IF(AND(D293&lt;&gt;"",E293&lt;&gt;""),E293/D293,""),"")</f>
        <v/>
      </c>
      <c r="G293" s="44" t="inlineStr"/>
      <c r="H293" s="44" t="inlineStr"/>
      <c r="I293" s="44" t="inlineStr"/>
    </row>
    <row r="294" ht="22" customHeight="1">
      <c r="A294" s="39" t="n">
        <v>46313</v>
      </c>
      <c r="B294" s="40" t="inlineStr">
        <is>
          <t>Sunday</t>
        </is>
      </c>
      <c r="C294" s="41" t="n">
        <v>0</v>
      </c>
      <c r="D294" s="40" t="inlineStr"/>
      <c r="E294" s="40" t="inlineStr"/>
      <c r="F294" s="40">
        <f>IFERROR(IF(AND(D294&lt;&gt;"",E294&lt;&gt;""),E294/D294,""),"")</f>
        <v/>
      </c>
      <c r="G294" s="40" t="inlineStr"/>
      <c r="H294" s="40" t="inlineStr"/>
      <c r="I294" s="40" t="inlineStr"/>
    </row>
    <row r="295" ht="22" customHeight="1">
      <c r="A295" s="43" t="n">
        <v>46314</v>
      </c>
      <c r="B295" s="44" t="inlineStr">
        <is>
          <t>Monday</t>
        </is>
      </c>
      <c r="C295" s="41" t="n">
        <v>0</v>
      </c>
      <c r="D295" s="44" t="inlineStr"/>
      <c r="E295" s="44" t="inlineStr"/>
      <c r="F295" s="44">
        <f>IFERROR(IF(AND(D295&lt;&gt;"",E295&lt;&gt;""),E295/D295,""),"")</f>
        <v/>
      </c>
      <c r="G295" s="44" t="inlineStr"/>
      <c r="H295" s="44" t="inlineStr"/>
      <c r="I295" s="44" t="inlineStr"/>
    </row>
    <row r="296" ht="22" customHeight="1">
      <c r="A296" s="39" t="n">
        <v>46315</v>
      </c>
      <c r="B296" s="40" t="inlineStr">
        <is>
          <t>Tuesday</t>
        </is>
      </c>
      <c r="C296" s="41" t="n">
        <v>0</v>
      </c>
      <c r="D296" s="40" t="inlineStr"/>
      <c r="E296" s="40" t="inlineStr"/>
      <c r="F296" s="40">
        <f>IFERROR(IF(AND(D296&lt;&gt;"",E296&lt;&gt;""),E296/D296,""),"")</f>
        <v/>
      </c>
      <c r="G296" s="40" t="inlineStr"/>
      <c r="H296" s="40" t="inlineStr"/>
      <c r="I296" s="40" t="inlineStr"/>
    </row>
    <row r="297" ht="22" customHeight="1">
      <c r="A297" s="43" t="n">
        <v>46316</v>
      </c>
      <c r="B297" s="44" t="inlineStr">
        <is>
          <t>Wednesday</t>
        </is>
      </c>
      <c r="C297" s="41" t="n">
        <v>0</v>
      </c>
      <c r="D297" s="44" t="inlineStr"/>
      <c r="E297" s="44" t="inlineStr"/>
      <c r="F297" s="44">
        <f>IFERROR(IF(AND(D297&lt;&gt;"",E297&lt;&gt;""),E297/D297,""),"")</f>
        <v/>
      </c>
      <c r="G297" s="44" t="inlineStr"/>
      <c r="H297" s="44" t="inlineStr"/>
      <c r="I297" s="44" t="inlineStr"/>
    </row>
    <row r="298" ht="22" customHeight="1">
      <c r="A298" s="39" t="n">
        <v>46317</v>
      </c>
      <c r="B298" s="40" t="inlineStr">
        <is>
          <t>Thursday</t>
        </is>
      </c>
      <c r="C298" s="41" t="n">
        <v>0</v>
      </c>
      <c r="D298" s="40" t="inlineStr"/>
      <c r="E298" s="40" t="inlineStr"/>
      <c r="F298" s="40">
        <f>IFERROR(IF(AND(D298&lt;&gt;"",E298&lt;&gt;""),E298/D298,""),"")</f>
        <v/>
      </c>
      <c r="G298" s="40" t="inlineStr"/>
      <c r="H298" s="40" t="inlineStr"/>
      <c r="I298" s="40" t="inlineStr"/>
    </row>
    <row r="299" ht="22" customHeight="1">
      <c r="A299" s="43" t="n">
        <v>46318</v>
      </c>
      <c r="B299" s="44" t="inlineStr">
        <is>
          <t>Friday</t>
        </is>
      </c>
      <c r="C299" s="41" t="n">
        <v>0</v>
      </c>
      <c r="D299" s="44" t="inlineStr"/>
      <c r="E299" s="44" t="inlineStr"/>
      <c r="F299" s="44">
        <f>IFERROR(IF(AND(D299&lt;&gt;"",E299&lt;&gt;""),E299/D299,""),"")</f>
        <v/>
      </c>
      <c r="G299" s="44" t="inlineStr"/>
      <c r="H299" s="44" t="inlineStr"/>
      <c r="I299" s="44" t="inlineStr"/>
    </row>
    <row r="300" ht="22" customHeight="1">
      <c r="A300" s="39" t="n">
        <v>46319</v>
      </c>
      <c r="B300" s="40" t="inlineStr">
        <is>
          <t>Saturday</t>
        </is>
      </c>
      <c r="C300" s="41" t="n">
        <v>0</v>
      </c>
      <c r="D300" s="40" t="inlineStr"/>
      <c r="E300" s="40" t="inlineStr"/>
      <c r="F300" s="40">
        <f>IFERROR(IF(AND(D300&lt;&gt;"",E300&lt;&gt;""),E300/D300,""),"")</f>
        <v/>
      </c>
      <c r="G300" s="40" t="inlineStr"/>
      <c r="H300" s="40" t="inlineStr"/>
      <c r="I300" s="40" t="inlineStr"/>
    </row>
    <row r="301" ht="22" customHeight="1">
      <c r="A301" s="43" t="n">
        <v>46320</v>
      </c>
      <c r="B301" s="44" t="inlineStr">
        <is>
          <t>Sunday</t>
        </is>
      </c>
      <c r="C301" s="41" t="n">
        <v>0</v>
      </c>
      <c r="D301" s="44" t="inlineStr"/>
      <c r="E301" s="44" t="inlineStr"/>
      <c r="F301" s="44">
        <f>IFERROR(IF(AND(D301&lt;&gt;"",E301&lt;&gt;""),E301/D301,""),"")</f>
        <v/>
      </c>
      <c r="G301" s="44" t="inlineStr"/>
      <c r="H301" s="44" t="inlineStr"/>
      <c r="I301" s="44" t="inlineStr"/>
    </row>
    <row r="302" ht="22" customHeight="1">
      <c r="A302" s="39" t="n">
        <v>46321</v>
      </c>
      <c r="B302" s="40" t="inlineStr">
        <is>
          <t>Monday</t>
        </is>
      </c>
      <c r="C302" s="41" t="n">
        <v>0</v>
      </c>
      <c r="D302" s="40" t="inlineStr"/>
      <c r="E302" s="40" t="inlineStr"/>
      <c r="F302" s="40">
        <f>IFERROR(IF(AND(D302&lt;&gt;"",E302&lt;&gt;""),E302/D302,""),"")</f>
        <v/>
      </c>
      <c r="G302" s="40" t="inlineStr"/>
      <c r="H302" s="40" t="inlineStr"/>
      <c r="I302" s="40" t="inlineStr"/>
    </row>
    <row r="303" ht="22" customHeight="1">
      <c r="A303" s="43" t="n">
        <v>46322</v>
      </c>
      <c r="B303" s="44" t="inlineStr">
        <is>
          <t>Tuesday</t>
        </is>
      </c>
      <c r="C303" s="41" t="n">
        <v>0</v>
      </c>
      <c r="D303" s="44" t="inlineStr"/>
      <c r="E303" s="44" t="inlineStr"/>
      <c r="F303" s="44">
        <f>IFERROR(IF(AND(D303&lt;&gt;"",E303&lt;&gt;""),E303/D303,""),"")</f>
        <v/>
      </c>
      <c r="G303" s="44" t="inlineStr"/>
      <c r="H303" s="44" t="inlineStr"/>
      <c r="I303" s="44" t="inlineStr"/>
    </row>
    <row r="304" ht="22" customHeight="1">
      <c r="A304" s="39" t="n">
        <v>46323</v>
      </c>
      <c r="B304" s="40" t="inlineStr">
        <is>
          <t>Wednesday</t>
        </is>
      </c>
      <c r="C304" s="41" t="n">
        <v>0</v>
      </c>
      <c r="D304" s="40" t="inlineStr"/>
      <c r="E304" s="40" t="inlineStr"/>
      <c r="F304" s="40">
        <f>IFERROR(IF(AND(D304&lt;&gt;"",E304&lt;&gt;""),E304/D304,""),"")</f>
        <v/>
      </c>
      <c r="G304" s="40" t="inlineStr"/>
      <c r="H304" s="40" t="inlineStr"/>
      <c r="I304" s="40" t="inlineStr"/>
    </row>
    <row r="305" ht="22" customHeight="1">
      <c r="A305" s="43" t="n">
        <v>46324</v>
      </c>
      <c r="B305" s="44" t="inlineStr">
        <is>
          <t>Thursday</t>
        </is>
      </c>
      <c r="C305" s="41" t="n">
        <v>0</v>
      </c>
      <c r="D305" s="44" t="inlineStr"/>
      <c r="E305" s="44" t="inlineStr"/>
      <c r="F305" s="44">
        <f>IFERROR(IF(AND(D305&lt;&gt;"",E305&lt;&gt;""),E305/D305,""),"")</f>
        <v/>
      </c>
      <c r="G305" s="44" t="inlineStr"/>
      <c r="H305" s="44" t="inlineStr"/>
      <c r="I305" s="44" t="inlineStr"/>
    </row>
    <row r="306" ht="22" customHeight="1">
      <c r="A306" s="39" t="n">
        <v>46325</v>
      </c>
      <c r="B306" s="40" t="inlineStr">
        <is>
          <t>Friday</t>
        </is>
      </c>
      <c r="C306" s="41" t="n">
        <v>0</v>
      </c>
      <c r="D306" s="40" t="inlineStr"/>
      <c r="E306" s="40" t="inlineStr"/>
      <c r="F306" s="40">
        <f>IFERROR(IF(AND(D306&lt;&gt;"",E306&lt;&gt;""),E306/D306,""),"")</f>
        <v/>
      </c>
      <c r="G306" s="40" t="inlineStr"/>
      <c r="H306" s="40" t="inlineStr"/>
      <c r="I306" s="40" t="inlineStr"/>
    </row>
    <row r="307" ht="22" customHeight="1">
      <c r="A307" s="43" t="n">
        <v>46326</v>
      </c>
      <c r="B307" s="44" t="inlineStr">
        <is>
          <t>Saturday</t>
        </is>
      </c>
      <c r="C307" s="41" t="n">
        <v>0</v>
      </c>
      <c r="D307" s="44" t="inlineStr"/>
      <c r="E307" s="44" t="inlineStr"/>
      <c r="F307" s="44">
        <f>IFERROR(IF(AND(D307&lt;&gt;"",E307&lt;&gt;""),E307/D307,""),"")</f>
        <v/>
      </c>
      <c r="G307" s="44" t="inlineStr"/>
      <c r="H307" s="44" t="inlineStr"/>
      <c r="I307" s="44" t="inlineStr"/>
    </row>
    <row r="308" ht="22" customHeight="1">
      <c r="A308" s="39" t="n">
        <v>46327</v>
      </c>
      <c r="B308" s="40" t="inlineStr">
        <is>
          <t>Sunday</t>
        </is>
      </c>
      <c r="C308" s="41" t="n">
        <v>0</v>
      </c>
      <c r="D308" s="40" t="inlineStr"/>
      <c r="E308" s="40" t="inlineStr"/>
      <c r="F308" s="40">
        <f>IFERROR(IF(AND(D308&lt;&gt;"",E308&lt;&gt;""),E308/D308,""),"")</f>
        <v/>
      </c>
      <c r="G308" s="40" t="inlineStr"/>
      <c r="H308" s="40" t="inlineStr"/>
      <c r="I308" s="40" t="inlineStr"/>
    </row>
    <row r="309" ht="22" customHeight="1">
      <c r="A309" s="43" t="n">
        <v>46328</v>
      </c>
      <c r="B309" s="44" t="inlineStr">
        <is>
          <t>Monday</t>
        </is>
      </c>
      <c r="C309" s="41" t="n">
        <v>0</v>
      </c>
      <c r="D309" s="44" t="inlineStr"/>
      <c r="E309" s="44" t="inlineStr"/>
      <c r="F309" s="44">
        <f>IFERROR(IF(AND(D309&lt;&gt;"",E309&lt;&gt;""),E309/D309,""),"")</f>
        <v/>
      </c>
      <c r="G309" s="44" t="inlineStr"/>
      <c r="H309" s="44" t="inlineStr"/>
      <c r="I309" s="44" t="inlineStr"/>
    </row>
    <row r="310" ht="22" customHeight="1">
      <c r="A310" s="39" t="n">
        <v>46329</v>
      </c>
      <c r="B310" s="40" t="inlineStr">
        <is>
          <t>Tuesday</t>
        </is>
      </c>
      <c r="C310" s="41" t="n">
        <v>0</v>
      </c>
      <c r="D310" s="40" t="inlineStr"/>
      <c r="E310" s="40" t="inlineStr"/>
      <c r="F310" s="40">
        <f>IFERROR(IF(AND(D310&lt;&gt;"",E310&lt;&gt;""),E310/D310,""),"")</f>
        <v/>
      </c>
      <c r="G310" s="40" t="inlineStr"/>
      <c r="H310" s="40" t="inlineStr"/>
      <c r="I310" s="40" t="inlineStr"/>
    </row>
    <row r="311" ht="22" customHeight="1">
      <c r="A311" s="43" t="n">
        <v>46330</v>
      </c>
      <c r="B311" s="44" t="inlineStr">
        <is>
          <t>Wednesday</t>
        </is>
      </c>
      <c r="C311" s="41" t="n">
        <v>0</v>
      </c>
      <c r="D311" s="44" t="inlineStr"/>
      <c r="E311" s="44" t="inlineStr"/>
      <c r="F311" s="44">
        <f>IFERROR(IF(AND(D311&lt;&gt;"",E311&lt;&gt;""),E311/D311,""),"")</f>
        <v/>
      </c>
      <c r="G311" s="44" t="inlineStr"/>
      <c r="H311" s="44" t="inlineStr"/>
      <c r="I311" s="44" t="inlineStr"/>
    </row>
    <row r="312" ht="22" customHeight="1">
      <c r="A312" s="39" t="n">
        <v>46331</v>
      </c>
      <c r="B312" s="40" t="inlineStr">
        <is>
          <t>Thursday</t>
        </is>
      </c>
      <c r="C312" s="41" t="n">
        <v>0</v>
      </c>
      <c r="D312" s="40" t="inlineStr"/>
      <c r="E312" s="40" t="inlineStr"/>
      <c r="F312" s="40">
        <f>IFERROR(IF(AND(D312&lt;&gt;"",E312&lt;&gt;""),E312/D312,""),"")</f>
        <v/>
      </c>
      <c r="G312" s="40" t="inlineStr"/>
      <c r="H312" s="40" t="inlineStr"/>
      <c r="I312" s="40" t="inlineStr"/>
    </row>
    <row r="313" ht="22" customHeight="1">
      <c r="A313" s="43" t="n">
        <v>46332</v>
      </c>
      <c r="B313" s="44" t="inlineStr">
        <is>
          <t>Friday</t>
        </is>
      </c>
      <c r="C313" s="41" t="n">
        <v>0</v>
      </c>
      <c r="D313" s="44" t="inlineStr"/>
      <c r="E313" s="44" t="inlineStr"/>
      <c r="F313" s="44">
        <f>IFERROR(IF(AND(D313&lt;&gt;"",E313&lt;&gt;""),E313/D313,""),"")</f>
        <v/>
      </c>
      <c r="G313" s="44" t="inlineStr"/>
      <c r="H313" s="44" t="inlineStr"/>
      <c r="I313" s="44" t="inlineStr"/>
    </row>
    <row r="314" ht="22" customHeight="1">
      <c r="A314" s="39" t="n">
        <v>46333</v>
      </c>
      <c r="B314" s="40" t="inlineStr">
        <is>
          <t>Saturday</t>
        </is>
      </c>
      <c r="C314" s="41" t="n">
        <v>0</v>
      </c>
      <c r="D314" s="40" t="inlineStr"/>
      <c r="E314" s="40" t="inlineStr"/>
      <c r="F314" s="40">
        <f>IFERROR(IF(AND(D314&lt;&gt;"",E314&lt;&gt;""),E314/D314,""),"")</f>
        <v/>
      </c>
      <c r="G314" s="40" t="inlineStr"/>
      <c r="H314" s="40" t="inlineStr"/>
      <c r="I314" s="40" t="inlineStr"/>
    </row>
    <row r="315" ht="22" customHeight="1">
      <c r="A315" s="43" t="n">
        <v>46334</v>
      </c>
      <c r="B315" s="44" t="inlineStr">
        <is>
          <t>Sunday</t>
        </is>
      </c>
      <c r="C315" s="41" t="n">
        <v>0</v>
      </c>
      <c r="D315" s="44" t="inlineStr"/>
      <c r="E315" s="44" t="inlineStr"/>
      <c r="F315" s="44">
        <f>IFERROR(IF(AND(D315&lt;&gt;"",E315&lt;&gt;""),E315/D315,""),"")</f>
        <v/>
      </c>
      <c r="G315" s="44" t="inlineStr"/>
      <c r="H315" s="44" t="inlineStr"/>
      <c r="I315" s="44" t="inlineStr"/>
    </row>
    <row r="316" ht="22" customHeight="1">
      <c r="A316" s="39" t="n">
        <v>46335</v>
      </c>
      <c r="B316" s="40" t="inlineStr">
        <is>
          <t>Monday</t>
        </is>
      </c>
      <c r="C316" s="41" t="n">
        <v>0</v>
      </c>
      <c r="D316" s="40" t="inlineStr"/>
      <c r="E316" s="40" t="inlineStr"/>
      <c r="F316" s="40">
        <f>IFERROR(IF(AND(D316&lt;&gt;"",E316&lt;&gt;""),E316/D316,""),"")</f>
        <v/>
      </c>
      <c r="G316" s="40" t="inlineStr"/>
      <c r="H316" s="40" t="inlineStr"/>
      <c r="I316" s="40" t="inlineStr"/>
    </row>
    <row r="317" ht="22" customHeight="1">
      <c r="A317" s="43" t="n">
        <v>46336</v>
      </c>
      <c r="B317" s="44" t="inlineStr">
        <is>
          <t>Tuesday</t>
        </is>
      </c>
      <c r="C317" s="41" t="n">
        <v>0</v>
      </c>
      <c r="D317" s="44" t="inlineStr"/>
      <c r="E317" s="44" t="inlineStr"/>
      <c r="F317" s="44">
        <f>IFERROR(IF(AND(D317&lt;&gt;"",E317&lt;&gt;""),E317/D317,""),"")</f>
        <v/>
      </c>
      <c r="G317" s="44" t="inlineStr"/>
      <c r="H317" s="44" t="inlineStr"/>
      <c r="I317" s="44" t="inlineStr"/>
    </row>
    <row r="318" ht="22" customHeight="1">
      <c r="A318" s="39" t="n">
        <v>46337</v>
      </c>
      <c r="B318" s="40" t="inlineStr">
        <is>
          <t>Wednesday</t>
        </is>
      </c>
      <c r="C318" s="41" t="n">
        <v>0</v>
      </c>
      <c r="D318" s="40" t="inlineStr"/>
      <c r="E318" s="40" t="inlineStr"/>
      <c r="F318" s="40">
        <f>IFERROR(IF(AND(D318&lt;&gt;"",E318&lt;&gt;""),E318/D318,""),"")</f>
        <v/>
      </c>
      <c r="G318" s="40" t="inlineStr"/>
      <c r="H318" s="40" t="inlineStr"/>
      <c r="I318" s="40" t="inlineStr"/>
    </row>
    <row r="319" ht="22" customHeight="1">
      <c r="A319" s="43" t="n">
        <v>46338</v>
      </c>
      <c r="B319" s="44" t="inlineStr">
        <is>
          <t>Thursday</t>
        </is>
      </c>
      <c r="C319" s="41" t="n">
        <v>0</v>
      </c>
      <c r="D319" s="44" t="inlineStr"/>
      <c r="E319" s="44" t="inlineStr"/>
      <c r="F319" s="44">
        <f>IFERROR(IF(AND(D319&lt;&gt;"",E319&lt;&gt;""),E319/D319,""),"")</f>
        <v/>
      </c>
      <c r="G319" s="44" t="inlineStr"/>
      <c r="H319" s="44" t="inlineStr"/>
      <c r="I319" s="44" t="inlineStr"/>
    </row>
    <row r="320" ht="22" customHeight="1">
      <c r="A320" s="39" t="n">
        <v>46339</v>
      </c>
      <c r="B320" s="40" t="inlineStr">
        <is>
          <t>Friday</t>
        </is>
      </c>
      <c r="C320" s="41" t="n">
        <v>0</v>
      </c>
      <c r="D320" s="40" t="inlineStr"/>
      <c r="E320" s="40" t="inlineStr"/>
      <c r="F320" s="40">
        <f>IFERROR(IF(AND(D320&lt;&gt;"",E320&lt;&gt;""),E320/D320,""),"")</f>
        <v/>
      </c>
      <c r="G320" s="40" t="inlineStr"/>
      <c r="H320" s="40" t="inlineStr"/>
      <c r="I320" s="40" t="inlineStr"/>
    </row>
    <row r="321" ht="22" customHeight="1">
      <c r="A321" s="43" t="n">
        <v>46340</v>
      </c>
      <c r="B321" s="44" t="inlineStr">
        <is>
          <t>Saturday</t>
        </is>
      </c>
      <c r="C321" s="41" t="n">
        <v>0</v>
      </c>
      <c r="D321" s="44" t="inlineStr"/>
      <c r="E321" s="44" t="inlineStr"/>
      <c r="F321" s="44">
        <f>IFERROR(IF(AND(D321&lt;&gt;"",E321&lt;&gt;""),E321/D321,""),"")</f>
        <v/>
      </c>
      <c r="G321" s="44" t="inlineStr"/>
      <c r="H321" s="44" t="inlineStr"/>
      <c r="I321" s="44" t="inlineStr"/>
    </row>
    <row r="322" ht="22" customHeight="1">
      <c r="A322" s="39" t="n">
        <v>46341</v>
      </c>
      <c r="B322" s="40" t="inlineStr">
        <is>
          <t>Sunday</t>
        </is>
      </c>
      <c r="C322" s="41" t="n">
        <v>0</v>
      </c>
      <c r="D322" s="40" t="inlineStr"/>
      <c r="E322" s="40" t="inlineStr"/>
      <c r="F322" s="40">
        <f>IFERROR(IF(AND(D322&lt;&gt;"",E322&lt;&gt;""),E322/D322,""),"")</f>
        <v/>
      </c>
      <c r="G322" s="40" t="inlineStr"/>
      <c r="H322" s="40" t="inlineStr"/>
      <c r="I322" s="40" t="inlineStr"/>
    </row>
    <row r="323" ht="22" customHeight="1">
      <c r="A323" s="43" t="n">
        <v>46342</v>
      </c>
      <c r="B323" s="44" t="inlineStr">
        <is>
          <t>Monday</t>
        </is>
      </c>
      <c r="C323" s="41" t="n">
        <v>0</v>
      </c>
      <c r="D323" s="44" t="inlineStr"/>
      <c r="E323" s="44" t="inlineStr"/>
      <c r="F323" s="44">
        <f>IFERROR(IF(AND(D323&lt;&gt;"",E323&lt;&gt;""),E323/D323,""),"")</f>
        <v/>
      </c>
      <c r="G323" s="44" t="inlineStr"/>
      <c r="H323" s="44" t="inlineStr"/>
      <c r="I323" s="44" t="inlineStr"/>
    </row>
    <row r="324" ht="22" customHeight="1">
      <c r="A324" s="39" t="n">
        <v>46343</v>
      </c>
      <c r="B324" s="40" t="inlineStr">
        <is>
          <t>Tuesday</t>
        </is>
      </c>
      <c r="C324" s="41" t="n">
        <v>0</v>
      </c>
      <c r="D324" s="40" t="inlineStr"/>
      <c r="E324" s="40" t="inlineStr"/>
      <c r="F324" s="40">
        <f>IFERROR(IF(AND(D324&lt;&gt;"",E324&lt;&gt;""),E324/D324,""),"")</f>
        <v/>
      </c>
      <c r="G324" s="40" t="inlineStr"/>
      <c r="H324" s="40" t="inlineStr"/>
      <c r="I324" s="40" t="inlineStr"/>
    </row>
    <row r="325" ht="22" customHeight="1">
      <c r="A325" s="43" t="n">
        <v>46344</v>
      </c>
      <c r="B325" s="44" t="inlineStr">
        <is>
          <t>Wednesday</t>
        </is>
      </c>
      <c r="C325" s="41" t="n">
        <v>0</v>
      </c>
      <c r="D325" s="44" t="inlineStr"/>
      <c r="E325" s="44" t="inlineStr"/>
      <c r="F325" s="44">
        <f>IFERROR(IF(AND(D325&lt;&gt;"",E325&lt;&gt;""),E325/D325,""),"")</f>
        <v/>
      </c>
      <c r="G325" s="44" t="inlineStr"/>
      <c r="H325" s="44" t="inlineStr"/>
      <c r="I325" s="44" t="inlineStr"/>
    </row>
    <row r="326" ht="22" customHeight="1">
      <c r="A326" s="39" t="n">
        <v>46345</v>
      </c>
      <c r="B326" s="40" t="inlineStr">
        <is>
          <t>Thursday</t>
        </is>
      </c>
      <c r="C326" s="41" t="n">
        <v>0</v>
      </c>
      <c r="D326" s="40" t="inlineStr"/>
      <c r="E326" s="40" t="inlineStr"/>
      <c r="F326" s="40">
        <f>IFERROR(IF(AND(D326&lt;&gt;"",E326&lt;&gt;""),E326/D326,""),"")</f>
        <v/>
      </c>
      <c r="G326" s="40" t="inlineStr"/>
      <c r="H326" s="40" t="inlineStr"/>
      <c r="I326" s="40" t="inlineStr"/>
    </row>
    <row r="327" ht="22" customHeight="1">
      <c r="A327" s="43" t="n">
        <v>46346</v>
      </c>
      <c r="B327" s="44" t="inlineStr">
        <is>
          <t>Friday</t>
        </is>
      </c>
      <c r="C327" s="41" t="n">
        <v>0</v>
      </c>
      <c r="D327" s="44" t="inlineStr"/>
      <c r="E327" s="44" t="inlineStr"/>
      <c r="F327" s="44">
        <f>IFERROR(IF(AND(D327&lt;&gt;"",E327&lt;&gt;""),E327/D327,""),"")</f>
        <v/>
      </c>
      <c r="G327" s="44" t="inlineStr"/>
      <c r="H327" s="44" t="inlineStr"/>
      <c r="I327" s="44" t="inlineStr"/>
    </row>
    <row r="328" ht="22" customHeight="1">
      <c r="A328" s="39" t="n">
        <v>46347</v>
      </c>
      <c r="B328" s="40" t="inlineStr">
        <is>
          <t>Saturday</t>
        </is>
      </c>
      <c r="C328" s="41" t="n">
        <v>0</v>
      </c>
      <c r="D328" s="40" t="inlineStr"/>
      <c r="E328" s="40" t="inlineStr"/>
      <c r="F328" s="40">
        <f>IFERROR(IF(AND(D328&lt;&gt;"",E328&lt;&gt;""),E328/D328,""),"")</f>
        <v/>
      </c>
      <c r="G328" s="40" t="inlineStr"/>
      <c r="H328" s="40" t="inlineStr"/>
      <c r="I328" s="40" t="inlineStr"/>
    </row>
    <row r="329" ht="22" customHeight="1">
      <c r="A329" s="43" t="n">
        <v>46348</v>
      </c>
      <c r="B329" s="44" t="inlineStr">
        <is>
          <t>Sunday</t>
        </is>
      </c>
      <c r="C329" s="41" t="n">
        <v>0</v>
      </c>
      <c r="D329" s="44" t="inlineStr"/>
      <c r="E329" s="44" t="inlineStr"/>
      <c r="F329" s="44">
        <f>IFERROR(IF(AND(D329&lt;&gt;"",E329&lt;&gt;""),E329/D329,""),"")</f>
        <v/>
      </c>
      <c r="G329" s="44" t="inlineStr"/>
      <c r="H329" s="44" t="inlineStr"/>
      <c r="I329" s="44" t="inlineStr"/>
    </row>
    <row r="330" ht="22" customHeight="1">
      <c r="A330" s="39" t="n">
        <v>46349</v>
      </c>
      <c r="B330" s="40" t="inlineStr">
        <is>
          <t>Monday</t>
        </is>
      </c>
      <c r="C330" s="41" t="n">
        <v>0</v>
      </c>
      <c r="D330" s="40" t="inlineStr"/>
      <c r="E330" s="40" t="inlineStr"/>
      <c r="F330" s="40">
        <f>IFERROR(IF(AND(D330&lt;&gt;"",E330&lt;&gt;""),E330/D330,""),"")</f>
        <v/>
      </c>
      <c r="G330" s="40" t="inlineStr"/>
      <c r="H330" s="40" t="inlineStr"/>
      <c r="I330" s="40" t="inlineStr"/>
    </row>
    <row r="331" ht="22" customHeight="1">
      <c r="A331" s="43" t="n">
        <v>46350</v>
      </c>
      <c r="B331" s="44" t="inlineStr">
        <is>
          <t>Tuesday</t>
        </is>
      </c>
      <c r="C331" s="41" t="n">
        <v>0</v>
      </c>
      <c r="D331" s="44" t="inlineStr"/>
      <c r="E331" s="44" t="inlineStr"/>
      <c r="F331" s="44">
        <f>IFERROR(IF(AND(D331&lt;&gt;"",E331&lt;&gt;""),E331/D331,""),"")</f>
        <v/>
      </c>
      <c r="G331" s="44" t="inlineStr"/>
      <c r="H331" s="44" t="inlineStr"/>
      <c r="I331" s="44" t="inlineStr"/>
    </row>
    <row r="332" ht="22" customHeight="1">
      <c r="A332" s="39" t="n">
        <v>46351</v>
      </c>
      <c r="B332" s="40" t="inlineStr">
        <is>
          <t>Wednesday</t>
        </is>
      </c>
      <c r="C332" s="41" t="n">
        <v>0</v>
      </c>
      <c r="D332" s="40" t="inlineStr"/>
      <c r="E332" s="40" t="inlineStr"/>
      <c r="F332" s="40">
        <f>IFERROR(IF(AND(D332&lt;&gt;"",E332&lt;&gt;""),E332/D332,""),"")</f>
        <v/>
      </c>
      <c r="G332" s="40" t="inlineStr"/>
      <c r="H332" s="40" t="inlineStr"/>
      <c r="I332" s="40" t="inlineStr"/>
    </row>
    <row r="333" ht="22" customHeight="1">
      <c r="A333" s="43" t="n">
        <v>46352</v>
      </c>
      <c r="B333" s="44" t="inlineStr">
        <is>
          <t>Thursday</t>
        </is>
      </c>
      <c r="C333" s="41" t="n">
        <v>0</v>
      </c>
      <c r="D333" s="44" t="inlineStr"/>
      <c r="E333" s="44" t="inlineStr"/>
      <c r="F333" s="44">
        <f>IFERROR(IF(AND(D333&lt;&gt;"",E333&lt;&gt;""),E333/D333,""),"")</f>
        <v/>
      </c>
      <c r="G333" s="44" t="inlineStr"/>
      <c r="H333" s="44" t="inlineStr"/>
      <c r="I333" s="44" t="inlineStr"/>
    </row>
    <row r="334" ht="22" customHeight="1">
      <c r="A334" s="39" t="n">
        <v>46353</v>
      </c>
      <c r="B334" s="40" t="inlineStr">
        <is>
          <t>Friday</t>
        </is>
      </c>
      <c r="C334" s="41" t="n">
        <v>0</v>
      </c>
      <c r="D334" s="40" t="inlineStr"/>
      <c r="E334" s="40" t="inlineStr"/>
      <c r="F334" s="40">
        <f>IFERROR(IF(AND(D334&lt;&gt;"",E334&lt;&gt;""),E334/D334,""),"")</f>
        <v/>
      </c>
      <c r="G334" s="40" t="inlineStr"/>
      <c r="H334" s="40" t="inlineStr"/>
      <c r="I334" s="40" t="inlineStr"/>
    </row>
    <row r="335" ht="22" customHeight="1">
      <c r="A335" s="43" t="n">
        <v>46354</v>
      </c>
      <c r="B335" s="44" t="inlineStr">
        <is>
          <t>Saturday</t>
        </is>
      </c>
      <c r="C335" s="41" t="n">
        <v>0</v>
      </c>
      <c r="D335" s="44" t="inlineStr"/>
      <c r="E335" s="44" t="inlineStr"/>
      <c r="F335" s="44">
        <f>IFERROR(IF(AND(D335&lt;&gt;"",E335&lt;&gt;""),E335/D335,""),"")</f>
        <v/>
      </c>
      <c r="G335" s="44" t="inlineStr"/>
      <c r="H335" s="44" t="inlineStr"/>
      <c r="I335" s="44" t="inlineStr"/>
    </row>
    <row r="336" ht="22" customHeight="1">
      <c r="A336" s="39" t="n">
        <v>46355</v>
      </c>
      <c r="B336" s="40" t="inlineStr">
        <is>
          <t>Sunday</t>
        </is>
      </c>
      <c r="C336" s="41" t="n">
        <v>0</v>
      </c>
      <c r="D336" s="40" t="inlineStr"/>
      <c r="E336" s="40" t="inlineStr"/>
      <c r="F336" s="40">
        <f>IFERROR(IF(AND(D336&lt;&gt;"",E336&lt;&gt;""),E336/D336,""),"")</f>
        <v/>
      </c>
      <c r="G336" s="40" t="inlineStr"/>
      <c r="H336" s="40" t="inlineStr"/>
      <c r="I336" s="40" t="inlineStr"/>
    </row>
    <row r="337" ht="22" customHeight="1">
      <c r="A337" s="43" t="n">
        <v>46356</v>
      </c>
      <c r="B337" s="44" t="inlineStr">
        <is>
          <t>Monday</t>
        </is>
      </c>
      <c r="C337" s="41" t="n">
        <v>0</v>
      </c>
      <c r="D337" s="44" t="inlineStr"/>
      <c r="E337" s="44" t="inlineStr"/>
      <c r="F337" s="44">
        <f>IFERROR(IF(AND(D337&lt;&gt;"",E337&lt;&gt;""),E337/D337,""),"")</f>
        <v/>
      </c>
      <c r="G337" s="44" t="inlineStr"/>
      <c r="H337" s="44" t="inlineStr"/>
      <c r="I337" s="44" t="inlineStr"/>
    </row>
    <row r="338" ht="22" customHeight="1">
      <c r="A338" s="39" t="n">
        <v>46357</v>
      </c>
      <c r="B338" s="40" t="inlineStr">
        <is>
          <t>Tuesday</t>
        </is>
      </c>
      <c r="C338" s="41" t="n">
        <v>0</v>
      </c>
      <c r="D338" s="40" t="inlineStr"/>
      <c r="E338" s="40" t="inlineStr"/>
      <c r="F338" s="40">
        <f>IFERROR(IF(AND(D338&lt;&gt;"",E338&lt;&gt;""),E338/D338,""),"")</f>
        <v/>
      </c>
      <c r="G338" s="40" t="inlineStr"/>
      <c r="H338" s="40" t="inlineStr"/>
      <c r="I338" s="40" t="inlineStr"/>
    </row>
    <row r="339" ht="22" customHeight="1">
      <c r="A339" s="43" t="n">
        <v>46358</v>
      </c>
      <c r="B339" s="44" t="inlineStr">
        <is>
          <t>Wednesday</t>
        </is>
      </c>
      <c r="C339" s="41" t="n">
        <v>0</v>
      </c>
      <c r="D339" s="44" t="inlineStr"/>
      <c r="E339" s="44" t="inlineStr"/>
      <c r="F339" s="44">
        <f>IFERROR(IF(AND(D339&lt;&gt;"",E339&lt;&gt;""),E339/D339,""),"")</f>
        <v/>
      </c>
      <c r="G339" s="44" t="inlineStr"/>
      <c r="H339" s="44" t="inlineStr"/>
      <c r="I339" s="44" t="inlineStr"/>
    </row>
    <row r="340" ht="22" customHeight="1">
      <c r="A340" s="39" t="n">
        <v>46359</v>
      </c>
      <c r="B340" s="40" t="inlineStr">
        <is>
          <t>Thursday</t>
        </is>
      </c>
      <c r="C340" s="41" t="n">
        <v>0</v>
      </c>
      <c r="D340" s="40" t="inlineStr"/>
      <c r="E340" s="40" t="inlineStr"/>
      <c r="F340" s="40">
        <f>IFERROR(IF(AND(D340&lt;&gt;"",E340&lt;&gt;""),E340/D340,""),"")</f>
        <v/>
      </c>
      <c r="G340" s="40" t="inlineStr"/>
      <c r="H340" s="40" t="inlineStr"/>
      <c r="I340" s="40" t="inlineStr"/>
    </row>
    <row r="341" ht="22" customHeight="1">
      <c r="A341" s="43" t="n">
        <v>46360</v>
      </c>
      <c r="B341" s="44" t="inlineStr">
        <is>
          <t>Friday</t>
        </is>
      </c>
      <c r="C341" s="41" t="n">
        <v>0</v>
      </c>
      <c r="D341" s="44" t="inlineStr"/>
      <c r="E341" s="44" t="inlineStr"/>
      <c r="F341" s="44">
        <f>IFERROR(IF(AND(D341&lt;&gt;"",E341&lt;&gt;""),E341/D341,""),"")</f>
        <v/>
      </c>
      <c r="G341" s="44" t="inlineStr"/>
      <c r="H341" s="44" t="inlineStr"/>
      <c r="I341" s="44" t="inlineStr"/>
    </row>
    <row r="342" ht="22" customHeight="1">
      <c r="A342" s="39" t="n">
        <v>46361</v>
      </c>
      <c r="B342" s="40" t="inlineStr">
        <is>
          <t>Saturday</t>
        </is>
      </c>
      <c r="C342" s="41" t="n">
        <v>0</v>
      </c>
      <c r="D342" s="40" t="inlineStr"/>
      <c r="E342" s="40" t="inlineStr"/>
      <c r="F342" s="40">
        <f>IFERROR(IF(AND(D342&lt;&gt;"",E342&lt;&gt;""),E342/D342,""),"")</f>
        <v/>
      </c>
      <c r="G342" s="40" t="inlineStr"/>
      <c r="H342" s="40" t="inlineStr"/>
      <c r="I342" s="40" t="inlineStr"/>
    </row>
    <row r="343" ht="22" customHeight="1">
      <c r="A343" s="43" t="n">
        <v>46362</v>
      </c>
      <c r="B343" s="44" t="inlineStr">
        <is>
          <t>Sunday</t>
        </is>
      </c>
      <c r="C343" s="41" t="n">
        <v>0</v>
      </c>
      <c r="D343" s="44" t="inlineStr"/>
      <c r="E343" s="44" t="inlineStr"/>
      <c r="F343" s="44">
        <f>IFERROR(IF(AND(D343&lt;&gt;"",E343&lt;&gt;""),E343/D343,""),"")</f>
        <v/>
      </c>
      <c r="G343" s="44" t="inlineStr"/>
      <c r="H343" s="44" t="inlineStr"/>
      <c r="I343" s="44" t="inlineStr"/>
    </row>
    <row r="344" ht="22" customHeight="1">
      <c r="A344" s="39" t="n">
        <v>46363</v>
      </c>
      <c r="B344" s="40" t="inlineStr">
        <is>
          <t>Monday</t>
        </is>
      </c>
      <c r="C344" s="41" t="n">
        <v>0</v>
      </c>
      <c r="D344" s="40" t="inlineStr"/>
      <c r="E344" s="40" t="inlineStr"/>
      <c r="F344" s="40">
        <f>IFERROR(IF(AND(D344&lt;&gt;"",E344&lt;&gt;""),E344/D344,""),"")</f>
        <v/>
      </c>
      <c r="G344" s="40" t="inlineStr"/>
      <c r="H344" s="40" t="inlineStr"/>
      <c r="I344" s="40" t="inlineStr"/>
    </row>
    <row r="345" ht="22" customHeight="1">
      <c r="A345" s="43" t="n">
        <v>46364</v>
      </c>
      <c r="B345" s="44" t="inlineStr">
        <is>
          <t>Tuesday</t>
        </is>
      </c>
      <c r="C345" s="41" t="n">
        <v>0</v>
      </c>
      <c r="D345" s="44" t="inlineStr"/>
      <c r="E345" s="44" t="inlineStr"/>
      <c r="F345" s="44">
        <f>IFERROR(IF(AND(D345&lt;&gt;"",E345&lt;&gt;""),E345/D345,""),"")</f>
        <v/>
      </c>
      <c r="G345" s="44" t="inlineStr"/>
      <c r="H345" s="44" t="inlineStr"/>
      <c r="I345" s="44" t="inlineStr"/>
    </row>
    <row r="346" ht="22" customHeight="1">
      <c r="A346" s="39" t="n">
        <v>46365</v>
      </c>
      <c r="B346" s="40" t="inlineStr">
        <is>
          <t>Wednesday</t>
        </is>
      </c>
      <c r="C346" s="41" t="n">
        <v>0</v>
      </c>
      <c r="D346" s="40" t="inlineStr"/>
      <c r="E346" s="40" t="inlineStr"/>
      <c r="F346" s="40">
        <f>IFERROR(IF(AND(D346&lt;&gt;"",E346&lt;&gt;""),E346/D346,""),"")</f>
        <v/>
      </c>
      <c r="G346" s="40" t="inlineStr"/>
      <c r="H346" s="40" t="inlineStr"/>
      <c r="I346" s="40" t="inlineStr"/>
    </row>
    <row r="347" ht="22" customHeight="1">
      <c r="A347" s="43" t="n">
        <v>46366</v>
      </c>
      <c r="B347" s="44" t="inlineStr">
        <is>
          <t>Thursday</t>
        </is>
      </c>
      <c r="C347" s="41" t="n">
        <v>0</v>
      </c>
      <c r="D347" s="44" t="inlineStr"/>
      <c r="E347" s="44" t="inlineStr"/>
      <c r="F347" s="44">
        <f>IFERROR(IF(AND(D347&lt;&gt;"",E347&lt;&gt;""),E347/D347,""),"")</f>
        <v/>
      </c>
      <c r="G347" s="44" t="inlineStr"/>
      <c r="H347" s="44" t="inlineStr"/>
      <c r="I347" s="44" t="inlineStr"/>
    </row>
    <row r="348" ht="22" customHeight="1">
      <c r="A348" s="39" t="n">
        <v>46367</v>
      </c>
      <c r="B348" s="40" t="inlineStr">
        <is>
          <t>Friday</t>
        </is>
      </c>
      <c r="C348" s="41" t="n">
        <v>0</v>
      </c>
      <c r="D348" s="40" t="inlineStr"/>
      <c r="E348" s="40" t="inlineStr"/>
      <c r="F348" s="40">
        <f>IFERROR(IF(AND(D348&lt;&gt;"",E348&lt;&gt;""),E348/D348,""),"")</f>
        <v/>
      </c>
      <c r="G348" s="40" t="inlineStr"/>
      <c r="H348" s="40" t="inlineStr"/>
      <c r="I348" s="40" t="inlineStr"/>
    </row>
    <row r="349" ht="22" customHeight="1">
      <c r="A349" s="43" t="n">
        <v>46368</v>
      </c>
      <c r="B349" s="44" t="inlineStr">
        <is>
          <t>Saturday</t>
        </is>
      </c>
      <c r="C349" s="41" t="n">
        <v>0</v>
      </c>
      <c r="D349" s="44" t="inlineStr"/>
      <c r="E349" s="44" t="inlineStr"/>
      <c r="F349" s="44">
        <f>IFERROR(IF(AND(D349&lt;&gt;"",E349&lt;&gt;""),E349/D349,""),"")</f>
        <v/>
      </c>
      <c r="G349" s="44" t="inlineStr"/>
      <c r="H349" s="44" t="inlineStr"/>
      <c r="I349" s="44" t="inlineStr"/>
    </row>
    <row r="350" ht="22" customHeight="1">
      <c r="A350" s="39" t="n">
        <v>46369</v>
      </c>
      <c r="B350" s="40" t="inlineStr">
        <is>
          <t>Sunday</t>
        </is>
      </c>
      <c r="C350" s="41" t="n">
        <v>0</v>
      </c>
      <c r="D350" s="40" t="inlineStr"/>
      <c r="E350" s="40" t="inlineStr"/>
      <c r="F350" s="40">
        <f>IFERROR(IF(AND(D350&lt;&gt;"",E350&lt;&gt;""),E350/D350,""),"")</f>
        <v/>
      </c>
      <c r="G350" s="40" t="inlineStr"/>
      <c r="H350" s="40" t="inlineStr"/>
      <c r="I350" s="40" t="inlineStr"/>
    </row>
    <row r="351" ht="22" customHeight="1">
      <c r="A351" s="43" t="n">
        <v>46370</v>
      </c>
      <c r="B351" s="44" t="inlineStr">
        <is>
          <t>Monday</t>
        </is>
      </c>
      <c r="C351" s="41" t="n">
        <v>0</v>
      </c>
      <c r="D351" s="44" t="inlineStr"/>
      <c r="E351" s="44" t="inlineStr"/>
      <c r="F351" s="44">
        <f>IFERROR(IF(AND(D351&lt;&gt;"",E351&lt;&gt;""),E351/D351,""),"")</f>
        <v/>
      </c>
      <c r="G351" s="44" t="inlineStr"/>
      <c r="H351" s="44" t="inlineStr"/>
      <c r="I351" s="44" t="inlineStr"/>
    </row>
    <row r="352" ht="22" customHeight="1">
      <c r="A352" s="39" t="n">
        <v>46371</v>
      </c>
      <c r="B352" s="40" t="inlineStr">
        <is>
          <t>Tuesday</t>
        </is>
      </c>
      <c r="C352" s="41" t="n">
        <v>0</v>
      </c>
      <c r="D352" s="40" t="inlineStr"/>
      <c r="E352" s="40" t="inlineStr"/>
      <c r="F352" s="40">
        <f>IFERROR(IF(AND(D352&lt;&gt;"",E352&lt;&gt;""),E352/D352,""),"")</f>
        <v/>
      </c>
      <c r="G352" s="40" t="inlineStr"/>
      <c r="H352" s="40" t="inlineStr"/>
      <c r="I352" s="40" t="inlineStr"/>
    </row>
    <row r="353" ht="22" customHeight="1">
      <c r="A353" s="43" t="n">
        <v>46372</v>
      </c>
      <c r="B353" s="44" t="inlineStr">
        <is>
          <t>Wednesday</t>
        </is>
      </c>
      <c r="C353" s="41" t="n">
        <v>0</v>
      </c>
      <c r="D353" s="44" t="inlineStr"/>
      <c r="E353" s="44" t="inlineStr"/>
      <c r="F353" s="44">
        <f>IFERROR(IF(AND(D353&lt;&gt;"",E353&lt;&gt;""),E353/D353,""),"")</f>
        <v/>
      </c>
      <c r="G353" s="44" t="inlineStr"/>
      <c r="H353" s="44" t="inlineStr"/>
      <c r="I353" s="44" t="inlineStr"/>
    </row>
    <row r="354" ht="22" customHeight="1">
      <c r="A354" s="39" t="n">
        <v>46373</v>
      </c>
      <c r="B354" s="40" t="inlineStr">
        <is>
          <t>Thursday</t>
        </is>
      </c>
      <c r="C354" s="41" t="n">
        <v>0</v>
      </c>
      <c r="D354" s="40" t="inlineStr"/>
      <c r="E354" s="40" t="inlineStr"/>
      <c r="F354" s="40">
        <f>IFERROR(IF(AND(D354&lt;&gt;"",E354&lt;&gt;""),E354/D354,""),"")</f>
        <v/>
      </c>
      <c r="G354" s="40" t="inlineStr"/>
      <c r="H354" s="40" t="inlineStr"/>
      <c r="I354" s="40" t="inlineStr"/>
    </row>
    <row r="355" ht="22" customHeight="1">
      <c r="A355" s="43" t="n">
        <v>46374</v>
      </c>
      <c r="B355" s="44" t="inlineStr">
        <is>
          <t>Friday</t>
        </is>
      </c>
      <c r="C355" s="41" t="n">
        <v>0</v>
      </c>
      <c r="D355" s="44" t="inlineStr"/>
      <c r="E355" s="44" t="inlineStr"/>
      <c r="F355" s="44">
        <f>IFERROR(IF(AND(D355&lt;&gt;"",E355&lt;&gt;""),E355/D355,""),"")</f>
        <v/>
      </c>
      <c r="G355" s="44" t="inlineStr"/>
      <c r="H355" s="44" t="inlineStr"/>
      <c r="I355" s="44" t="inlineStr"/>
    </row>
    <row r="356" ht="22" customHeight="1">
      <c r="A356" s="39" t="n">
        <v>46375</v>
      </c>
      <c r="B356" s="40" t="inlineStr">
        <is>
          <t>Saturday</t>
        </is>
      </c>
      <c r="C356" s="41" t="n">
        <v>0</v>
      </c>
      <c r="D356" s="40" t="inlineStr"/>
      <c r="E356" s="40" t="inlineStr"/>
      <c r="F356" s="40">
        <f>IFERROR(IF(AND(D356&lt;&gt;"",E356&lt;&gt;""),E356/D356,""),"")</f>
        <v/>
      </c>
      <c r="G356" s="40" t="inlineStr"/>
      <c r="H356" s="40" t="inlineStr"/>
      <c r="I356" s="40" t="inlineStr"/>
    </row>
    <row r="357" ht="22" customHeight="1">
      <c r="A357" s="43" t="n">
        <v>46376</v>
      </c>
      <c r="B357" s="44" t="inlineStr">
        <is>
          <t>Sunday</t>
        </is>
      </c>
      <c r="C357" s="41" t="n">
        <v>0</v>
      </c>
      <c r="D357" s="44" t="inlineStr"/>
      <c r="E357" s="44" t="inlineStr"/>
      <c r="F357" s="44">
        <f>IFERROR(IF(AND(D357&lt;&gt;"",E357&lt;&gt;""),E357/D357,""),"")</f>
        <v/>
      </c>
      <c r="G357" s="44" t="inlineStr"/>
      <c r="H357" s="44" t="inlineStr"/>
      <c r="I357" s="44" t="inlineStr"/>
    </row>
    <row r="358" ht="22" customHeight="1">
      <c r="A358" s="39" t="n">
        <v>46377</v>
      </c>
      <c r="B358" s="40" t="inlineStr">
        <is>
          <t>Monday</t>
        </is>
      </c>
      <c r="C358" s="41" t="n">
        <v>0</v>
      </c>
      <c r="D358" s="40" t="inlineStr"/>
      <c r="E358" s="40" t="inlineStr"/>
      <c r="F358" s="40">
        <f>IFERROR(IF(AND(D358&lt;&gt;"",E358&lt;&gt;""),E358/D358,""),"")</f>
        <v/>
      </c>
      <c r="G358" s="40" t="inlineStr"/>
      <c r="H358" s="40" t="inlineStr"/>
      <c r="I358" s="40" t="inlineStr"/>
    </row>
    <row r="359" ht="22" customHeight="1">
      <c r="A359" s="43" t="n">
        <v>46378</v>
      </c>
      <c r="B359" s="44" t="inlineStr">
        <is>
          <t>Tuesday</t>
        </is>
      </c>
      <c r="C359" s="41" t="n">
        <v>0</v>
      </c>
      <c r="D359" s="44" t="inlineStr"/>
      <c r="E359" s="44" t="inlineStr"/>
      <c r="F359" s="44">
        <f>IFERROR(IF(AND(D359&lt;&gt;"",E359&lt;&gt;""),E359/D359,""),"")</f>
        <v/>
      </c>
      <c r="G359" s="44" t="inlineStr"/>
      <c r="H359" s="44" t="inlineStr"/>
      <c r="I359" s="44" t="inlineStr"/>
    </row>
    <row r="360" ht="22" customHeight="1">
      <c r="A360" s="39" t="n">
        <v>46379</v>
      </c>
      <c r="B360" s="40" t="inlineStr">
        <is>
          <t>Wednesday</t>
        </is>
      </c>
      <c r="C360" s="41" t="n">
        <v>0</v>
      </c>
      <c r="D360" s="40" t="inlineStr"/>
      <c r="E360" s="40" t="inlineStr"/>
      <c r="F360" s="40">
        <f>IFERROR(IF(AND(D360&lt;&gt;"",E360&lt;&gt;""),E360/D360,""),"")</f>
        <v/>
      </c>
      <c r="G360" s="40" t="inlineStr"/>
      <c r="H360" s="40" t="inlineStr"/>
      <c r="I360" s="40" t="inlineStr"/>
    </row>
    <row r="361" ht="22" customHeight="1">
      <c r="A361" s="43" t="n">
        <v>46380</v>
      </c>
      <c r="B361" s="44" t="inlineStr">
        <is>
          <t>Thursday</t>
        </is>
      </c>
      <c r="C361" s="41" t="n">
        <v>0</v>
      </c>
      <c r="D361" s="44" t="inlineStr"/>
      <c r="E361" s="44" t="inlineStr"/>
      <c r="F361" s="44">
        <f>IFERROR(IF(AND(D361&lt;&gt;"",E361&lt;&gt;""),E361/D361,""),"")</f>
        <v/>
      </c>
      <c r="G361" s="44" t="inlineStr"/>
      <c r="H361" s="44" t="inlineStr"/>
      <c r="I361" s="44" t="inlineStr"/>
    </row>
    <row r="362" ht="22" customHeight="1">
      <c r="A362" s="39" t="n">
        <v>46381</v>
      </c>
      <c r="B362" s="40" t="inlineStr">
        <is>
          <t>Friday</t>
        </is>
      </c>
      <c r="C362" s="41" t="n">
        <v>0</v>
      </c>
      <c r="D362" s="40" t="inlineStr"/>
      <c r="E362" s="40" t="inlineStr"/>
      <c r="F362" s="40">
        <f>IFERROR(IF(AND(D362&lt;&gt;"",E362&lt;&gt;""),E362/D362,""),"")</f>
        <v/>
      </c>
      <c r="G362" s="40" t="inlineStr"/>
      <c r="H362" s="40" t="inlineStr"/>
      <c r="I362" s="40" t="inlineStr"/>
    </row>
    <row r="363" ht="22" customHeight="1">
      <c r="A363" s="43" t="n">
        <v>46382</v>
      </c>
      <c r="B363" s="44" t="inlineStr">
        <is>
          <t>Saturday</t>
        </is>
      </c>
      <c r="C363" s="41" t="n">
        <v>0</v>
      </c>
      <c r="D363" s="44" t="inlineStr"/>
      <c r="E363" s="44" t="inlineStr"/>
      <c r="F363" s="44">
        <f>IFERROR(IF(AND(D363&lt;&gt;"",E363&lt;&gt;""),E363/D363,""),"")</f>
        <v/>
      </c>
      <c r="G363" s="44" t="inlineStr"/>
      <c r="H363" s="44" t="inlineStr"/>
      <c r="I363" s="44" t="inlineStr"/>
    </row>
    <row r="364" ht="22" customHeight="1">
      <c r="A364" s="39" t="n">
        <v>46383</v>
      </c>
      <c r="B364" s="40" t="inlineStr">
        <is>
          <t>Sunday</t>
        </is>
      </c>
      <c r="C364" s="41" t="n">
        <v>0</v>
      </c>
      <c r="D364" s="40" t="inlineStr"/>
      <c r="E364" s="40" t="inlineStr"/>
      <c r="F364" s="40">
        <f>IFERROR(IF(AND(D364&lt;&gt;"",E364&lt;&gt;""),E364/D364,""),"")</f>
        <v/>
      </c>
      <c r="G364" s="40" t="inlineStr"/>
      <c r="H364" s="40" t="inlineStr"/>
      <c r="I364" s="40" t="inlineStr"/>
    </row>
    <row r="365" ht="22" customHeight="1">
      <c r="A365" s="43" t="n">
        <v>46384</v>
      </c>
      <c r="B365" s="44" t="inlineStr">
        <is>
          <t>Monday</t>
        </is>
      </c>
      <c r="C365" s="41" t="n">
        <v>0</v>
      </c>
      <c r="D365" s="44" t="inlineStr"/>
      <c r="E365" s="44" t="inlineStr"/>
      <c r="F365" s="44">
        <f>IFERROR(IF(AND(D365&lt;&gt;"",E365&lt;&gt;""),E365/D365,""),"")</f>
        <v/>
      </c>
      <c r="G365" s="44" t="inlineStr"/>
      <c r="H365" s="44" t="inlineStr"/>
      <c r="I365" s="44" t="inlineStr"/>
    </row>
    <row r="366" ht="22" customHeight="1">
      <c r="A366" s="39" t="n">
        <v>46385</v>
      </c>
      <c r="B366" s="40" t="inlineStr">
        <is>
          <t>Tuesday</t>
        </is>
      </c>
      <c r="C366" s="41" t="n">
        <v>0</v>
      </c>
      <c r="D366" s="40" t="inlineStr"/>
      <c r="E366" s="40" t="inlineStr"/>
      <c r="F366" s="40">
        <f>IFERROR(IF(AND(D366&lt;&gt;"",E366&lt;&gt;""),E366/D366,""),"")</f>
        <v/>
      </c>
      <c r="G366" s="40" t="inlineStr"/>
      <c r="H366" s="40" t="inlineStr"/>
      <c r="I366" s="40" t="inlineStr"/>
    </row>
    <row r="367" ht="22" customHeight="1">
      <c r="A367" s="43" t="n">
        <v>46386</v>
      </c>
      <c r="B367" s="44" t="inlineStr">
        <is>
          <t>Wednesday</t>
        </is>
      </c>
      <c r="C367" s="41" t="n">
        <v>0</v>
      </c>
      <c r="D367" s="44" t="inlineStr"/>
      <c r="E367" s="44" t="inlineStr"/>
      <c r="F367" s="44">
        <f>IFERROR(IF(AND(D367&lt;&gt;"",E367&lt;&gt;""),E367/D367,""),"")</f>
        <v/>
      </c>
      <c r="G367" s="44" t="inlineStr"/>
      <c r="H367" s="44" t="inlineStr"/>
      <c r="I367" s="44" t="inlineStr"/>
    </row>
    <row r="368" ht="22" customHeight="1">
      <c r="A368" s="39" t="n">
        <v>46387</v>
      </c>
      <c r="B368" s="40" t="inlineStr">
        <is>
          <t>Thursday</t>
        </is>
      </c>
      <c r="C368" s="41" t="n">
        <v>0</v>
      </c>
      <c r="D368" s="40" t="inlineStr"/>
      <c r="E368" s="40" t="inlineStr"/>
      <c r="F368" s="40">
        <f>IFERROR(IF(AND(D368&lt;&gt;"",E368&lt;&gt;""),E368/D368,""),"")</f>
        <v/>
      </c>
      <c r="G368" s="40" t="inlineStr"/>
      <c r="H368" s="40" t="inlineStr"/>
      <c r="I368" s="40" t="inlineStr"/>
    </row>
  </sheetData>
  <autoFilter ref="A3:I368"/>
  <mergeCells count="2">
    <mergeCell ref="A1:I1"/>
    <mergeCell ref="A2:I2"/>
  </mergeCells>
  <conditionalFormatting sqref="C4:C368">
    <cfRule type="expression" priority="1" dxfId="0">
      <formula>C4=1</formula>
    </cfRule>
  </conditionalFormatting>
  <pageMargins left="0.75" right="0.75" top="1" bottom="1" header="0.5" footer="0.5"/>
  <extLst>
    <ext xmlns:x14="http://schemas.microsoft.com/office/spreadsheetml/2009/9/main" uri="{CCF9B9E7-4FED-4B87-89B2-7A4E5FC3597B}">
      <x14:dataValidations>
        <x14:dataValidation type="checkBox">
          <xm:sqref xmlns:xm="http://schemas.microsoft.com/office/excel/2006/main">C4:C368</xm:sqref>
        </x14:dataValidation>
      </x14:dataValidations>
    </ext>
  </extLst>
</worksheet>
</file>

<file path=xl/worksheets/sheet7.xml><?xml version="1.0" encoding="utf-8"?>
<worksheet xmlns="http://schemas.openxmlformats.org/spreadsheetml/2006/main">
  <sheetPr>
    <tabColor rgb="00AD1457"/>
    <outlinePr summaryBelow="1" summaryRight="1"/>
    <pageSetUpPr/>
  </sheetPr>
  <dimension ref="A1:I3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28" customWidth="1" min="4" max="4"/>
    <col width="13" customWidth="1" min="5" max="5"/>
    <col width="13" customWidth="1" min="6" max="6"/>
    <col width="13" customWidth="1" min="7" max="7"/>
    <col width="16" customWidth="1" min="8" max="8"/>
    <col width="22" customWidth="1" min="9" max="9"/>
  </cols>
  <sheetData>
    <row r="1" ht="32" customHeight="1">
      <c r="A1" s="62" t="inlineStr">
        <is>
          <t>💰  EXPENSE &amp; SAVINGS TRACKER 2026</t>
        </is>
      </c>
    </row>
    <row r="2" ht="24" customHeight="1">
      <c r="A2" s="63" t="inlineStr">
        <is>
          <t>Track income, expenses, and savings daily  •  Savings = Income − Expense</t>
        </is>
      </c>
    </row>
    <row r="3" ht="28" customHeight="1">
      <c r="A3" s="18" t="inlineStr">
        <is>
          <t>Date</t>
        </is>
      </c>
      <c r="B3" s="18" t="inlineStr">
        <is>
          <t>Day</t>
        </is>
      </c>
      <c r="C3" s="18" t="inlineStr">
        <is>
          <t>Category</t>
        </is>
      </c>
      <c r="D3" s="18" t="inlineStr">
        <is>
          <t>Description</t>
        </is>
      </c>
      <c r="E3" s="18" t="inlineStr">
        <is>
          <t>Income</t>
        </is>
      </c>
      <c r="F3" s="18" t="inlineStr">
        <is>
          <t>Expense</t>
        </is>
      </c>
      <c r="G3" s="18" t="inlineStr">
        <is>
          <t>Savings</t>
        </is>
      </c>
      <c r="H3" s="18" t="inlineStr">
        <is>
          <t>Payment Method</t>
        </is>
      </c>
      <c r="I3" s="18" t="inlineStr">
        <is>
          <t>Notes</t>
        </is>
      </c>
    </row>
    <row r="4" ht="22" customHeight="1">
      <c r="A4" s="39" t="n">
        <v>46023</v>
      </c>
      <c r="B4" s="40" t="inlineStr">
        <is>
          <t>Thursday</t>
        </is>
      </c>
      <c r="C4" s="40" t="inlineStr"/>
      <c r="D4" s="40" t="inlineStr"/>
      <c r="E4" s="64" t="inlineStr"/>
      <c r="F4" s="64" t="inlineStr"/>
      <c r="G4" s="64">
        <f>IFERROR(IF(AND(E4&lt;&gt;"",F4&lt;&gt;""),E4-F4,IF(E4&lt;&gt;"",E4,IF(F4&lt;&gt;"",-F4,""))),"")</f>
        <v/>
      </c>
      <c r="H4" s="40" t="inlineStr"/>
      <c r="I4" s="40" t="inlineStr"/>
    </row>
    <row r="5" ht="22" customHeight="1">
      <c r="A5" s="43" t="n">
        <v>46024</v>
      </c>
      <c r="B5" s="44" t="inlineStr">
        <is>
          <t>Friday</t>
        </is>
      </c>
      <c r="C5" s="44" t="inlineStr"/>
      <c r="D5" s="44" t="inlineStr"/>
      <c r="E5" s="65" t="inlineStr"/>
      <c r="F5" s="65" t="inlineStr"/>
      <c r="G5" s="65">
        <f>IFERROR(IF(AND(E5&lt;&gt;"",F5&lt;&gt;""),E5-F5,IF(E5&lt;&gt;"",E5,IF(F5&lt;&gt;"",-F5,""))),"")</f>
        <v/>
      </c>
      <c r="H5" s="44" t="inlineStr"/>
      <c r="I5" s="44" t="inlineStr"/>
    </row>
    <row r="6" ht="22" customHeight="1">
      <c r="A6" s="39" t="n">
        <v>46025</v>
      </c>
      <c r="B6" s="40" t="inlineStr">
        <is>
          <t>Saturday</t>
        </is>
      </c>
      <c r="C6" s="40" t="inlineStr"/>
      <c r="D6" s="40" t="inlineStr"/>
      <c r="E6" s="64" t="inlineStr"/>
      <c r="F6" s="64" t="inlineStr"/>
      <c r="G6" s="64">
        <f>IFERROR(IF(AND(E6&lt;&gt;"",F6&lt;&gt;""),E6-F6,IF(E6&lt;&gt;"",E6,IF(F6&lt;&gt;"",-F6,""))),"")</f>
        <v/>
      </c>
      <c r="H6" s="40" t="inlineStr"/>
      <c r="I6" s="40" t="inlineStr"/>
    </row>
    <row r="7" ht="22" customHeight="1">
      <c r="A7" s="43" t="n">
        <v>46026</v>
      </c>
      <c r="B7" s="44" t="inlineStr">
        <is>
          <t>Sunday</t>
        </is>
      </c>
      <c r="C7" s="44" t="inlineStr"/>
      <c r="D7" s="44" t="inlineStr"/>
      <c r="E7" s="65" t="inlineStr"/>
      <c r="F7" s="65" t="inlineStr"/>
      <c r="G7" s="65">
        <f>IFERROR(IF(AND(E7&lt;&gt;"",F7&lt;&gt;""),E7-F7,IF(E7&lt;&gt;"",E7,IF(F7&lt;&gt;"",-F7,""))),"")</f>
        <v/>
      </c>
      <c r="H7" s="44" t="inlineStr"/>
      <c r="I7" s="44" t="inlineStr"/>
    </row>
    <row r="8" ht="22" customHeight="1">
      <c r="A8" s="39" t="n">
        <v>46027</v>
      </c>
      <c r="B8" s="40" t="inlineStr">
        <is>
          <t>Monday</t>
        </is>
      </c>
      <c r="C8" s="40" t="inlineStr"/>
      <c r="D8" s="40" t="inlineStr"/>
      <c r="E8" s="64" t="inlineStr"/>
      <c r="F8" s="64" t="inlineStr"/>
      <c r="G8" s="64">
        <f>IFERROR(IF(AND(E8&lt;&gt;"",F8&lt;&gt;""),E8-F8,IF(E8&lt;&gt;"",E8,IF(F8&lt;&gt;"",-F8,""))),"")</f>
        <v/>
      </c>
      <c r="H8" s="40" t="inlineStr"/>
      <c r="I8" s="40" t="inlineStr"/>
    </row>
    <row r="9" ht="22" customHeight="1">
      <c r="A9" s="43" t="n">
        <v>46028</v>
      </c>
      <c r="B9" s="44" t="inlineStr">
        <is>
          <t>Tuesday</t>
        </is>
      </c>
      <c r="C9" s="44" t="inlineStr"/>
      <c r="D9" s="44" t="inlineStr"/>
      <c r="E9" s="65" t="inlineStr"/>
      <c r="F9" s="65" t="inlineStr"/>
      <c r="G9" s="65">
        <f>IFERROR(IF(AND(E9&lt;&gt;"",F9&lt;&gt;""),E9-F9,IF(E9&lt;&gt;"",E9,IF(F9&lt;&gt;"",-F9,""))),"")</f>
        <v/>
      </c>
      <c r="H9" s="44" t="inlineStr"/>
      <c r="I9" s="44" t="inlineStr"/>
    </row>
    <row r="10" ht="22" customHeight="1">
      <c r="A10" s="39" t="n">
        <v>46029</v>
      </c>
      <c r="B10" s="40" t="inlineStr">
        <is>
          <t>Wednesday</t>
        </is>
      </c>
      <c r="C10" s="40" t="inlineStr"/>
      <c r="D10" s="40" t="inlineStr"/>
      <c r="E10" s="64" t="inlineStr"/>
      <c r="F10" s="64" t="inlineStr"/>
      <c r="G10" s="64">
        <f>IFERROR(IF(AND(E10&lt;&gt;"",F10&lt;&gt;""),E10-F10,IF(E10&lt;&gt;"",E10,IF(F10&lt;&gt;"",-F10,""))),"")</f>
        <v/>
      </c>
      <c r="H10" s="40" t="inlineStr"/>
      <c r="I10" s="40" t="inlineStr"/>
    </row>
    <row r="11" ht="22" customHeight="1">
      <c r="A11" s="43" t="n">
        <v>46030</v>
      </c>
      <c r="B11" s="44" t="inlineStr">
        <is>
          <t>Thursday</t>
        </is>
      </c>
      <c r="C11" s="44" t="inlineStr"/>
      <c r="D11" s="44" t="inlineStr"/>
      <c r="E11" s="65" t="inlineStr"/>
      <c r="F11" s="65" t="inlineStr"/>
      <c r="G11" s="65">
        <f>IFERROR(IF(AND(E11&lt;&gt;"",F11&lt;&gt;""),E11-F11,IF(E11&lt;&gt;"",E11,IF(F11&lt;&gt;"",-F11,""))),"")</f>
        <v/>
      </c>
      <c r="H11" s="44" t="inlineStr"/>
      <c r="I11" s="44" t="inlineStr"/>
    </row>
    <row r="12" ht="22" customHeight="1">
      <c r="A12" s="39" t="n">
        <v>46031</v>
      </c>
      <c r="B12" s="40" t="inlineStr">
        <is>
          <t>Friday</t>
        </is>
      </c>
      <c r="C12" s="40" t="inlineStr"/>
      <c r="D12" s="40" t="inlineStr"/>
      <c r="E12" s="64" t="inlineStr"/>
      <c r="F12" s="64" t="inlineStr"/>
      <c r="G12" s="64">
        <f>IFERROR(IF(AND(E12&lt;&gt;"",F12&lt;&gt;""),E12-F12,IF(E12&lt;&gt;"",E12,IF(F12&lt;&gt;"",-F12,""))),"")</f>
        <v/>
      </c>
      <c r="H12" s="40" t="inlineStr"/>
      <c r="I12" s="40" t="inlineStr"/>
    </row>
    <row r="13" ht="22" customHeight="1">
      <c r="A13" s="43" t="n">
        <v>46032</v>
      </c>
      <c r="B13" s="44" t="inlineStr">
        <is>
          <t>Saturday</t>
        </is>
      </c>
      <c r="C13" s="44" t="inlineStr"/>
      <c r="D13" s="44" t="inlineStr"/>
      <c r="E13" s="65" t="inlineStr"/>
      <c r="F13" s="65" t="inlineStr"/>
      <c r="G13" s="65">
        <f>IFERROR(IF(AND(E13&lt;&gt;"",F13&lt;&gt;""),E13-F13,IF(E13&lt;&gt;"",E13,IF(F13&lt;&gt;"",-F13,""))),"")</f>
        <v/>
      </c>
      <c r="H13" s="44" t="inlineStr"/>
      <c r="I13" s="44" t="inlineStr"/>
    </row>
    <row r="14" ht="22" customHeight="1">
      <c r="A14" s="39" t="n">
        <v>46033</v>
      </c>
      <c r="B14" s="40" t="inlineStr">
        <is>
          <t>Sunday</t>
        </is>
      </c>
      <c r="C14" s="40" t="inlineStr"/>
      <c r="D14" s="40" t="inlineStr"/>
      <c r="E14" s="64" t="inlineStr"/>
      <c r="F14" s="64" t="inlineStr"/>
      <c r="G14" s="64">
        <f>IFERROR(IF(AND(E14&lt;&gt;"",F14&lt;&gt;""),E14-F14,IF(E14&lt;&gt;"",E14,IF(F14&lt;&gt;"",-F14,""))),"")</f>
        <v/>
      </c>
      <c r="H14" s="40" t="inlineStr"/>
      <c r="I14" s="40" t="inlineStr"/>
    </row>
    <row r="15" ht="22" customHeight="1">
      <c r="A15" s="43" t="n">
        <v>46034</v>
      </c>
      <c r="B15" s="44" t="inlineStr">
        <is>
          <t>Monday</t>
        </is>
      </c>
      <c r="C15" s="44" t="inlineStr"/>
      <c r="D15" s="44" t="inlineStr"/>
      <c r="E15" s="65" t="inlineStr"/>
      <c r="F15" s="65" t="inlineStr"/>
      <c r="G15" s="65">
        <f>IFERROR(IF(AND(E15&lt;&gt;"",F15&lt;&gt;""),E15-F15,IF(E15&lt;&gt;"",E15,IF(F15&lt;&gt;"",-F15,""))),"")</f>
        <v/>
      </c>
      <c r="H15" s="44" t="inlineStr"/>
      <c r="I15" s="44" t="inlineStr"/>
    </row>
    <row r="16" ht="22" customHeight="1">
      <c r="A16" s="39" t="n">
        <v>46035</v>
      </c>
      <c r="B16" s="40" t="inlineStr">
        <is>
          <t>Tuesday</t>
        </is>
      </c>
      <c r="C16" s="40" t="inlineStr"/>
      <c r="D16" s="40" t="inlineStr"/>
      <c r="E16" s="64" t="inlineStr"/>
      <c r="F16" s="64" t="inlineStr"/>
      <c r="G16" s="64">
        <f>IFERROR(IF(AND(E16&lt;&gt;"",F16&lt;&gt;""),E16-F16,IF(E16&lt;&gt;"",E16,IF(F16&lt;&gt;"",-F16,""))),"")</f>
        <v/>
      </c>
      <c r="H16" s="40" t="inlineStr"/>
      <c r="I16" s="40" t="inlineStr"/>
    </row>
    <row r="17" ht="22" customHeight="1">
      <c r="A17" s="43" t="n">
        <v>46036</v>
      </c>
      <c r="B17" s="44" t="inlineStr">
        <is>
          <t>Wednesday</t>
        </is>
      </c>
      <c r="C17" s="44" t="inlineStr"/>
      <c r="D17" s="44" t="inlineStr"/>
      <c r="E17" s="65" t="inlineStr"/>
      <c r="F17" s="65" t="inlineStr"/>
      <c r="G17" s="65">
        <f>IFERROR(IF(AND(E17&lt;&gt;"",F17&lt;&gt;""),E17-F17,IF(E17&lt;&gt;"",E17,IF(F17&lt;&gt;"",-F17,""))),"")</f>
        <v/>
      </c>
      <c r="H17" s="44" t="inlineStr"/>
      <c r="I17" s="44" t="inlineStr"/>
    </row>
    <row r="18" ht="22" customHeight="1">
      <c r="A18" s="39" t="n">
        <v>46037</v>
      </c>
      <c r="B18" s="40" t="inlineStr">
        <is>
          <t>Thursday</t>
        </is>
      </c>
      <c r="C18" s="40" t="inlineStr"/>
      <c r="D18" s="40" t="inlineStr"/>
      <c r="E18" s="64" t="inlineStr"/>
      <c r="F18" s="64" t="inlineStr"/>
      <c r="G18" s="64">
        <f>IFERROR(IF(AND(E18&lt;&gt;"",F18&lt;&gt;""),E18-F18,IF(E18&lt;&gt;"",E18,IF(F18&lt;&gt;"",-F18,""))),"")</f>
        <v/>
      </c>
      <c r="H18" s="40" t="inlineStr"/>
      <c r="I18" s="40" t="inlineStr"/>
    </row>
    <row r="19" ht="22" customHeight="1">
      <c r="A19" s="43" t="n">
        <v>46038</v>
      </c>
      <c r="B19" s="44" t="inlineStr">
        <is>
          <t>Friday</t>
        </is>
      </c>
      <c r="C19" s="44" t="inlineStr"/>
      <c r="D19" s="44" t="inlineStr"/>
      <c r="E19" s="65" t="inlineStr"/>
      <c r="F19" s="65" t="inlineStr"/>
      <c r="G19" s="65">
        <f>IFERROR(IF(AND(E19&lt;&gt;"",F19&lt;&gt;""),E19-F19,IF(E19&lt;&gt;"",E19,IF(F19&lt;&gt;"",-F19,""))),"")</f>
        <v/>
      </c>
      <c r="H19" s="44" t="inlineStr"/>
      <c r="I19" s="44" t="inlineStr"/>
    </row>
    <row r="20" ht="22" customHeight="1">
      <c r="A20" s="39" t="n">
        <v>46039</v>
      </c>
      <c r="B20" s="40" t="inlineStr">
        <is>
          <t>Saturday</t>
        </is>
      </c>
      <c r="C20" s="40" t="inlineStr"/>
      <c r="D20" s="40" t="inlineStr"/>
      <c r="E20" s="64" t="inlineStr"/>
      <c r="F20" s="64" t="inlineStr"/>
      <c r="G20" s="64">
        <f>IFERROR(IF(AND(E20&lt;&gt;"",F20&lt;&gt;""),E20-F20,IF(E20&lt;&gt;"",E20,IF(F20&lt;&gt;"",-F20,""))),"")</f>
        <v/>
      </c>
      <c r="H20" s="40" t="inlineStr"/>
      <c r="I20" s="40" t="inlineStr"/>
    </row>
    <row r="21" ht="22" customHeight="1">
      <c r="A21" s="43" t="n">
        <v>46040</v>
      </c>
      <c r="B21" s="44" t="inlineStr">
        <is>
          <t>Sunday</t>
        </is>
      </c>
      <c r="C21" s="44" t="inlineStr"/>
      <c r="D21" s="44" t="inlineStr"/>
      <c r="E21" s="65" t="inlineStr"/>
      <c r="F21" s="65" t="inlineStr"/>
      <c r="G21" s="65">
        <f>IFERROR(IF(AND(E21&lt;&gt;"",F21&lt;&gt;""),E21-F21,IF(E21&lt;&gt;"",E21,IF(F21&lt;&gt;"",-F21,""))),"")</f>
        <v/>
      </c>
      <c r="H21" s="44" t="inlineStr"/>
      <c r="I21" s="44" t="inlineStr"/>
    </row>
    <row r="22" ht="22" customHeight="1">
      <c r="A22" s="39" t="n">
        <v>46041</v>
      </c>
      <c r="B22" s="40" t="inlineStr">
        <is>
          <t>Monday</t>
        </is>
      </c>
      <c r="C22" s="40" t="inlineStr"/>
      <c r="D22" s="40" t="inlineStr"/>
      <c r="E22" s="64" t="inlineStr"/>
      <c r="F22" s="64" t="inlineStr"/>
      <c r="G22" s="64">
        <f>IFERROR(IF(AND(E22&lt;&gt;"",F22&lt;&gt;""),E22-F22,IF(E22&lt;&gt;"",E22,IF(F22&lt;&gt;"",-F22,""))),"")</f>
        <v/>
      </c>
      <c r="H22" s="40" t="inlineStr"/>
      <c r="I22" s="40" t="inlineStr"/>
    </row>
    <row r="23" ht="22" customHeight="1">
      <c r="A23" s="43" t="n">
        <v>46042</v>
      </c>
      <c r="B23" s="44" t="inlineStr">
        <is>
          <t>Tuesday</t>
        </is>
      </c>
      <c r="C23" s="44" t="inlineStr"/>
      <c r="D23" s="44" t="inlineStr"/>
      <c r="E23" s="65" t="inlineStr"/>
      <c r="F23" s="65" t="inlineStr"/>
      <c r="G23" s="65">
        <f>IFERROR(IF(AND(E23&lt;&gt;"",F23&lt;&gt;""),E23-F23,IF(E23&lt;&gt;"",E23,IF(F23&lt;&gt;"",-F23,""))),"")</f>
        <v/>
      </c>
      <c r="H23" s="44" t="inlineStr"/>
      <c r="I23" s="44" t="inlineStr"/>
    </row>
    <row r="24" ht="22" customHeight="1">
      <c r="A24" s="39" t="n">
        <v>46043</v>
      </c>
      <c r="B24" s="40" t="inlineStr">
        <is>
          <t>Wednesday</t>
        </is>
      </c>
      <c r="C24" s="40" t="inlineStr"/>
      <c r="D24" s="40" t="inlineStr"/>
      <c r="E24" s="64" t="inlineStr"/>
      <c r="F24" s="64" t="inlineStr"/>
      <c r="G24" s="64">
        <f>IFERROR(IF(AND(E24&lt;&gt;"",F24&lt;&gt;""),E24-F24,IF(E24&lt;&gt;"",E24,IF(F24&lt;&gt;"",-F24,""))),"")</f>
        <v/>
      </c>
      <c r="H24" s="40" t="inlineStr"/>
      <c r="I24" s="40" t="inlineStr"/>
    </row>
    <row r="25" ht="22" customHeight="1">
      <c r="A25" s="43" t="n">
        <v>46044</v>
      </c>
      <c r="B25" s="44" t="inlineStr">
        <is>
          <t>Thursday</t>
        </is>
      </c>
      <c r="C25" s="44" t="inlineStr"/>
      <c r="D25" s="44" t="inlineStr"/>
      <c r="E25" s="65" t="inlineStr"/>
      <c r="F25" s="65" t="inlineStr"/>
      <c r="G25" s="65">
        <f>IFERROR(IF(AND(E25&lt;&gt;"",F25&lt;&gt;""),E25-F25,IF(E25&lt;&gt;"",E25,IF(F25&lt;&gt;"",-F25,""))),"")</f>
        <v/>
      </c>
      <c r="H25" s="44" t="inlineStr"/>
      <c r="I25" s="44" t="inlineStr"/>
    </row>
    <row r="26" ht="22" customHeight="1">
      <c r="A26" s="39" t="n">
        <v>46045</v>
      </c>
      <c r="B26" s="40" t="inlineStr">
        <is>
          <t>Friday</t>
        </is>
      </c>
      <c r="C26" s="40" t="inlineStr"/>
      <c r="D26" s="40" t="inlineStr"/>
      <c r="E26" s="64" t="inlineStr"/>
      <c r="F26" s="64" t="inlineStr"/>
      <c r="G26" s="64">
        <f>IFERROR(IF(AND(E26&lt;&gt;"",F26&lt;&gt;""),E26-F26,IF(E26&lt;&gt;"",E26,IF(F26&lt;&gt;"",-F26,""))),"")</f>
        <v/>
      </c>
      <c r="H26" s="40" t="inlineStr"/>
      <c r="I26" s="40" t="inlineStr"/>
    </row>
    <row r="27" ht="22" customHeight="1">
      <c r="A27" s="43" t="n">
        <v>46046</v>
      </c>
      <c r="B27" s="44" t="inlineStr">
        <is>
          <t>Saturday</t>
        </is>
      </c>
      <c r="C27" s="44" t="inlineStr"/>
      <c r="D27" s="44" t="inlineStr"/>
      <c r="E27" s="65" t="inlineStr"/>
      <c r="F27" s="65" t="inlineStr"/>
      <c r="G27" s="65">
        <f>IFERROR(IF(AND(E27&lt;&gt;"",F27&lt;&gt;""),E27-F27,IF(E27&lt;&gt;"",E27,IF(F27&lt;&gt;"",-F27,""))),"")</f>
        <v/>
      </c>
      <c r="H27" s="44" t="inlineStr"/>
      <c r="I27" s="44" t="inlineStr"/>
    </row>
    <row r="28" ht="22" customHeight="1">
      <c r="A28" s="39" t="n">
        <v>46047</v>
      </c>
      <c r="B28" s="40" t="inlineStr">
        <is>
          <t>Sunday</t>
        </is>
      </c>
      <c r="C28" s="40" t="inlineStr"/>
      <c r="D28" s="40" t="inlineStr"/>
      <c r="E28" s="64" t="inlineStr"/>
      <c r="F28" s="64" t="inlineStr"/>
      <c r="G28" s="64">
        <f>IFERROR(IF(AND(E28&lt;&gt;"",F28&lt;&gt;""),E28-F28,IF(E28&lt;&gt;"",E28,IF(F28&lt;&gt;"",-F28,""))),"")</f>
        <v/>
      </c>
      <c r="H28" s="40" t="inlineStr"/>
      <c r="I28" s="40" t="inlineStr"/>
    </row>
    <row r="29" ht="22" customHeight="1">
      <c r="A29" s="43" t="n">
        <v>46048</v>
      </c>
      <c r="B29" s="44" t="inlineStr">
        <is>
          <t>Monday</t>
        </is>
      </c>
      <c r="C29" s="44" t="inlineStr"/>
      <c r="D29" s="44" t="inlineStr"/>
      <c r="E29" s="65" t="inlineStr"/>
      <c r="F29" s="65" t="inlineStr"/>
      <c r="G29" s="65">
        <f>IFERROR(IF(AND(E29&lt;&gt;"",F29&lt;&gt;""),E29-F29,IF(E29&lt;&gt;"",E29,IF(F29&lt;&gt;"",-F29,""))),"")</f>
        <v/>
      </c>
      <c r="H29" s="44" t="inlineStr"/>
      <c r="I29" s="44" t="inlineStr"/>
    </row>
    <row r="30" ht="22" customHeight="1">
      <c r="A30" s="39" t="n">
        <v>46049</v>
      </c>
      <c r="B30" s="40" t="inlineStr">
        <is>
          <t>Tuesday</t>
        </is>
      </c>
      <c r="C30" s="40" t="inlineStr"/>
      <c r="D30" s="40" t="inlineStr"/>
      <c r="E30" s="64" t="inlineStr"/>
      <c r="F30" s="64" t="inlineStr"/>
      <c r="G30" s="64">
        <f>IFERROR(IF(AND(E30&lt;&gt;"",F30&lt;&gt;""),E30-F30,IF(E30&lt;&gt;"",E30,IF(F30&lt;&gt;"",-F30,""))),"")</f>
        <v/>
      </c>
      <c r="H30" s="40" t="inlineStr"/>
      <c r="I30" s="40" t="inlineStr"/>
    </row>
    <row r="31" ht="22" customHeight="1">
      <c r="A31" s="43" t="n">
        <v>46050</v>
      </c>
      <c r="B31" s="44" t="inlineStr">
        <is>
          <t>Wednesday</t>
        </is>
      </c>
      <c r="C31" s="44" t="inlineStr"/>
      <c r="D31" s="44" t="inlineStr"/>
      <c r="E31" s="65" t="inlineStr"/>
      <c r="F31" s="65" t="inlineStr"/>
      <c r="G31" s="65">
        <f>IFERROR(IF(AND(E31&lt;&gt;"",F31&lt;&gt;""),E31-F31,IF(E31&lt;&gt;"",E31,IF(F31&lt;&gt;"",-F31,""))),"")</f>
        <v/>
      </c>
      <c r="H31" s="44" t="inlineStr"/>
      <c r="I31" s="44" t="inlineStr"/>
    </row>
    <row r="32" ht="22" customHeight="1">
      <c r="A32" s="39" t="n">
        <v>46051</v>
      </c>
      <c r="B32" s="40" t="inlineStr">
        <is>
          <t>Thursday</t>
        </is>
      </c>
      <c r="C32" s="40" t="inlineStr"/>
      <c r="D32" s="40" t="inlineStr"/>
      <c r="E32" s="64" t="inlineStr"/>
      <c r="F32" s="64" t="inlineStr"/>
      <c r="G32" s="64">
        <f>IFERROR(IF(AND(E32&lt;&gt;"",F32&lt;&gt;""),E32-F32,IF(E32&lt;&gt;"",E32,IF(F32&lt;&gt;"",-F32,""))),"")</f>
        <v/>
      </c>
      <c r="H32" s="40" t="inlineStr"/>
      <c r="I32" s="40" t="inlineStr"/>
    </row>
    <row r="33" ht="22" customHeight="1">
      <c r="A33" s="43" t="n">
        <v>46052</v>
      </c>
      <c r="B33" s="44" t="inlineStr">
        <is>
          <t>Friday</t>
        </is>
      </c>
      <c r="C33" s="44" t="inlineStr"/>
      <c r="D33" s="44" t="inlineStr"/>
      <c r="E33" s="65" t="inlineStr"/>
      <c r="F33" s="65" t="inlineStr"/>
      <c r="G33" s="65">
        <f>IFERROR(IF(AND(E33&lt;&gt;"",F33&lt;&gt;""),E33-F33,IF(E33&lt;&gt;"",E33,IF(F33&lt;&gt;"",-F33,""))),"")</f>
        <v/>
      </c>
      <c r="H33" s="44" t="inlineStr"/>
      <c r="I33" s="44" t="inlineStr"/>
    </row>
    <row r="34" ht="22" customHeight="1">
      <c r="A34" s="39" t="n">
        <v>46053</v>
      </c>
      <c r="B34" s="40" t="inlineStr">
        <is>
          <t>Saturday</t>
        </is>
      </c>
      <c r="C34" s="40" t="inlineStr"/>
      <c r="D34" s="40" t="inlineStr"/>
      <c r="E34" s="64" t="inlineStr"/>
      <c r="F34" s="64" t="inlineStr"/>
      <c r="G34" s="64">
        <f>IFERROR(IF(AND(E34&lt;&gt;"",F34&lt;&gt;""),E34-F34,IF(E34&lt;&gt;"",E34,IF(F34&lt;&gt;"",-F34,""))),"")</f>
        <v/>
      </c>
      <c r="H34" s="40" t="inlineStr"/>
      <c r="I34" s="40" t="inlineStr"/>
    </row>
    <row r="35" ht="22" customHeight="1">
      <c r="A35" s="43" t="n">
        <v>46054</v>
      </c>
      <c r="B35" s="44" t="inlineStr">
        <is>
          <t>Sunday</t>
        </is>
      </c>
      <c r="C35" s="44" t="inlineStr"/>
      <c r="D35" s="44" t="inlineStr"/>
      <c r="E35" s="65" t="inlineStr"/>
      <c r="F35" s="65" t="inlineStr"/>
      <c r="G35" s="65">
        <f>IFERROR(IF(AND(E35&lt;&gt;"",F35&lt;&gt;""),E35-F35,IF(E35&lt;&gt;"",E35,IF(F35&lt;&gt;"",-F35,""))),"")</f>
        <v/>
      </c>
      <c r="H35" s="44" t="inlineStr"/>
      <c r="I35" s="44" t="inlineStr"/>
    </row>
    <row r="36" ht="22" customHeight="1">
      <c r="A36" s="39" t="n">
        <v>46055</v>
      </c>
      <c r="B36" s="40" t="inlineStr">
        <is>
          <t>Monday</t>
        </is>
      </c>
      <c r="C36" s="40" t="inlineStr"/>
      <c r="D36" s="40" t="inlineStr"/>
      <c r="E36" s="64" t="inlineStr"/>
      <c r="F36" s="64" t="inlineStr"/>
      <c r="G36" s="64">
        <f>IFERROR(IF(AND(E36&lt;&gt;"",F36&lt;&gt;""),E36-F36,IF(E36&lt;&gt;"",E36,IF(F36&lt;&gt;"",-F36,""))),"")</f>
        <v/>
      </c>
      <c r="H36" s="40" t="inlineStr"/>
      <c r="I36" s="40" t="inlineStr"/>
    </row>
    <row r="37" ht="22" customHeight="1">
      <c r="A37" s="43" t="n">
        <v>46056</v>
      </c>
      <c r="B37" s="44" t="inlineStr">
        <is>
          <t>Tuesday</t>
        </is>
      </c>
      <c r="C37" s="44" t="inlineStr"/>
      <c r="D37" s="44" t="inlineStr"/>
      <c r="E37" s="65" t="inlineStr"/>
      <c r="F37" s="65" t="inlineStr"/>
      <c r="G37" s="65">
        <f>IFERROR(IF(AND(E37&lt;&gt;"",F37&lt;&gt;""),E37-F37,IF(E37&lt;&gt;"",E37,IF(F37&lt;&gt;"",-F37,""))),"")</f>
        <v/>
      </c>
      <c r="H37" s="44" t="inlineStr"/>
      <c r="I37" s="44" t="inlineStr"/>
    </row>
    <row r="38" ht="22" customHeight="1">
      <c r="A38" s="39" t="n">
        <v>46057</v>
      </c>
      <c r="B38" s="40" t="inlineStr">
        <is>
          <t>Wednesday</t>
        </is>
      </c>
      <c r="C38" s="40" t="inlineStr"/>
      <c r="D38" s="40" t="inlineStr"/>
      <c r="E38" s="64" t="inlineStr"/>
      <c r="F38" s="64" t="inlineStr"/>
      <c r="G38" s="64">
        <f>IFERROR(IF(AND(E38&lt;&gt;"",F38&lt;&gt;""),E38-F38,IF(E38&lt;&gt;"",E38,IF(F38&lt;&gt;"",-F38,""))),"")</f>
        <v/>
      </c>
      <c r="H38" s="40" t="inlineStr"/>
      <c r="I38" s="40" t="inlineStr"/>
    </row>
    <row r="39" ht="22" customHeight="1">
      <c r="A39" s="43" t="n">
        <v>46058</v>
      </c>
      <c r="B39" s="44" t="inlineStr">
        <is>
          <t>Thursday</t>
        </is>
      </c>
      <c r="C39" s="44" t="inlineStr"/>
      <c r="D39" s="44" t="inlineStr"/>
      <c r="E39" s="65" t="inlineStr"/>
      <c r="F39" s="65" t="inlineStr"/>
      <c r="G39" s="65">
        <f>IFERROR(IF(AND(E39&lt;&gt;"",F39&lt;&gt;""),E39-F39,IF(E39&lt;&gt;"",E39,IF(F39&lt;&gt;"",-F39,""))),"")</f>
        <v/>
      </c>
      <c r="H39" s="44" t="inlineStr"/>
      <c r="I39" s="44" t="inlineStr"/>
    </row>
    <row r="40" ht="22" customHeight="1">
      <c r="A40" s="39" t="n">
        <v>46059</v>
      </c>
      <c r="B40" s="40" t="inlineStr">
        <is>
          <t>Friday</t>
        </is>
      </c>
      <c r="C40" s="40" t="inlineStr"/>
      <c r="D40" s="40" t="inlineStr"/>
      <c r="E40" s="64" t="inlineStr"/>
      <c r="F40" s="64" t="inlineStr"/>
      <c r="G40" s="64">
        <f>IFERROR(IF(AND(E40&lt;&gt;"",F40&lt;&gt;""),E40-F40,IF(E40&lt;&gt;"",E40,IF(F40&lt;&gt;"",-F40,""))),"")</f>
        <v/>
      </c>
      <c r="H40" s="40" t="inlineStr"/>
      <c r="I40" s="40" t="inlineStr"/>
    </row>
    <row r="41" ht="22" customHeight="1">
      <c r="A41" s="43" t="n">
        <v>46060</v>
      </c>
      <c r="B41" s="44" t="inlineStr">
        <is>
          <t>Saturday</t>
        </is>
      </c>
      <c r="C41" s="44" t="inlineStr"/>
      <c r="D41" s="44" t="inlineStr"/>
      <c r="E41" s="65" t="inlineStr"/>
      <c r="F41" s="65" t="inlineStr"/>
      <c r="G41" s="65">
        <f>IFERROR(IF(AND(E41&lt;&gt;"",F41&lt;&gt;""),E41-F41,IF(E41&lt;&gt;"",E41,IF(F41&lt;&gt;"",-F41,""))),"")</f>
        <v/>
      </c>
      <c r="H41" s="44" t="inlineStr"/>
      <c r="I41" s="44" t="inlineStr"/>
    </row>
    <row r="42" ht="22" customHeight="1">
      <c r="A42" s="39" t="n">
        <v>46061</v>
      </c>
      <c r="B42" s="40" t="inlineStr">
        <is>
          <t>Sunday</t>
        </is>
      </c>
      <c r="C42" s="40" t="inlineStr"/>
      <c r="D42" s="40" t="inlineStr"/>
      <c r="E42" s="64" t="inlineStr"/>
      <c r="F42" s="64" t="inlineStr"/>
      <c r="G42" s="64">
        <f>IFERROR(IF(AND(E42&lt;&gt;"",F42&lt;&gt;""),E42-F42,IF(E42&lt;&gt;"",E42,IF(F42&lt;&gt;"",-F42,""))),"")</f>
        <v/>
      </c>
      <c r="H42" s="40" t="inlineStr"/>
      <c r="I42" s="40" t="inlineStr"/>
    </row>
    <row r="43" ht="22" customHeight="1">
      <c r="A43" s="43" t="n">
        <v>46062</v>
      </c>
      <c r="B43" s="44" t="inlineStr">
        <is>
          <t>Monday</t>
        </is>
      </c>
      <c r="C43" s="44" t="inlineStr"/>
      <c r="D43" s="44" t="inlineStr"/>
      <c r="E43" s="65" t="inlineStr"/>
      <c r="F43" s="65" t="inlineStr"/>
      <c r="G43" s="65">
        <f>IFERROR(IF(AND(E43&lt;&gt;"",F43&lt;&gt;""),E43-F43,IF(E43&lt;&gt;"",E43,IF(F43&lt;&gt;"",-F43,""))),"")</f>
        <v/>
      </c>
      <c r="H43" s="44" t="inlineStr"/>
      <c r="I43" s="44" t="inlineStr"/>
    </row>
    <row r="44" ht="22" customHeight="1">
      <c r="A44" s="39" t="n">
        <v>46063</v>
      </c>
      <c r="B44" s="40" t="inlineStr">
        <is>
          <t>Tuesday</t>
        </is>
      </c>
      <c r="C44" s="40" t="inlineStr"/>
      <c r="D44" s="40" t="inlineStr"/>
      <c r="E44" s="64" t="inlineStr"/>
      <c r="F44" s="64" t="inlineStr"/>
      <c r="G44" s="64">
        <f>IFERROR(IF(AND(E44&lt;&gt;"",F44&lt;&gt;""),E44-F44,IF(E44&lt;&gt;"",E44,IF(F44&lt;&gt;"",-F44,""))),"")</f>
        <v/>
      </c>
      <c r="H44" s="40" t="inlineStr"/>
      <c r="I44" s="40" t="inlineStr"/>
    </row>
    <row r="45" ht="22" customHeight="1">
      <c r="A45" s="43" t="n">
        <v>46064</v>
      </c>
      <c r="B45" s="44" t="inlineStr">
        <is>
          <t>Wednesday</t>
        </is>
      </c>
      <c r="C45" s="44" t="inlineStr"/>
      <c r="D45" s="44" t="inlineStr"/>
      <c r="E45" s="65" t="inlineStr"/>
      <c r="F45" s="65" t="inlineStr"/>
      <c r="G45" s="65">
        <f>IFERROR(IF(AND(E45&lt;&gt;"",F45&lt;&gt;""),E45-F45,IF(E45&lt;&gt;"",E45,IF(F45&lt;&gt;"",-F45,""))),"")</f>
        <v/>
      </c>
      <c r="H45" s="44" t="inlineStr"/>
      <c r="I45" s="44" t="inlineStr"/>
    </row>
    <row r="46" ht="22" customHeight="1">
      <c r="A46" s="39" t="n">
        <v>46065</v>
      </c>
      <c r="B46" s="40" t="inlineStr">
        <is>
          <t>Thursday</t>
        </is>
      </c>
      <c r="C46" s="40" t="inlineStr"/>
      <c r="D46" s="40" t="inlineStr"/>
      <c r="E46" s="64" t="inlineStr"/>
      <c r="F46" s="64" t="inlineStr"/>
      <c r="G46" s="64">
        <f>IFERROR(IF(AND(E46&lt;&gt;"",F46&lt;&gt;""),E46-F46,IF(E46&lt;&gt;"",E46,IF(F46&lt;&gt;"",-F46,""))),"")</f>
        <v/>
      </c>
      <c r="H46" s="40" t="inlineStr"/>
      <c r="I46" s="40" t="inlineStr"/>
    </row>
    <row r="47" ht="22" customHeight="1">
      <c r="A47" s="43" t="n">
        <v>46066</v>
      </c>
      <c r="B47" s="44" t="inlineStr">
        <is>
          <t>Friday</t>
        </is>
      </c>
      <c r="C47" s="44" t="inlineStr"/>
      <c r="D47" s="44" t="inlineStr"/>
      <c r="E47" s="65" t="inlineStr"/>
      <c r="F47" s="65" t="inlineStr"/>
      <c r="G47" s="65">
        <f>IFERROR(IF(AND(E47&lt;&gt;"",F47&lt;&gt;""),E47-F47,IF(E47&lt;&gt;"",E47,IF(F47&lt;&gt;"",-F47,""))),"")</f>
        <v/>
      </c>
      <c r="H47" s="44" t="inlineStr"/>
      <c r="I47" s="44" t="inlineStr"/>
    </row>
    <row r="48" ht="22" customHeight="1">
      <c r="A48" s="39" t="n">
        <v>46067</v>
      </c>
      <c r="B48" s="40" t="inlineStr">
        <is>
          <t>Saturday</t>
        </is>
      </c>
      <c r="C48" s="40" t="inlineStr"/>
      <c r="D48" s="40" t="inlineStr"/>
      <c r="E48" s="64" t="inlineStr"/>
      <c r="F48" s="64" t="inlineStr"/>
      <c r="G48" s="64">
        <f>IFERROR(IF(AND(E48&lt;&gt;"",F48&lt;&gt;""),E48-F48,IF(E48&lt;&gt;"",E48,IF(F48&lt;&gt;"",-F48,""))),"")</f>
        <v/>
      </c>
      <c r="H48" s="40" t="inlineStr"/>
      <c r="I48" s="40" t="inlineStr"/>
    </row>
    <row r="49" ht="22" customHeight="1">
      <c r="A49" s="43" t="n">
        <v>46068</v>
      </c>
      <c r="B49" s="44" t="inlineStr">
        <is>
          <t>Sunday</t>
        </is>
      </c>
      <c r="C49" s="44" t="inlineStr"/>
      <c r="D49" s="44" t="inlineStr"/>
      <c r="E49" s="65" t="inlineStr"/>
      <c r="F49" s="65" t="inlineStr"/>
      <c r="G49" s="65">
        <f>IFERROR(IF(AND(E49&lt;&gt;"",F49&lt;&gt;""),E49-F49,IF(E49&lt;&gt;"",E49,IF(F49&lt;&gt;"",-F49,""))),"")</f>
        <v/>
      </c>
      <c r="H49" s="44" t="inlineStr"/>
      <c r="I49" s="44" t="inlineStr"/>
    </row>
    <row r="50" ht="22" customHeight="1">
      <c r="A50" s="39" t="n">
        <v>46069</v>
      </c>
      <c r="B50" s="40" t="inlineStr">
        <is>
          <t>Monday</t>
        </is>
      </c>
      <c r="C50" s="40" t="inlineStr"/>
      <c r="D50" s="40" t="inlineStr"/>
      <c r="E50" s="64" t="inlineStr"/>
      <c r="F50" s="64" t="inlineStr"/>
      <c r="G50" s="64">
        <f>IFERROR(IF(AND(E50&lt;&gt;"",F50&lt;&gt;""),E50-F50,IF(E50&lt;&gt;"",E50,IF(F50&lt;&gt;"",-F50,""))),"")</f>
        <v/>
      </c>
      <c r="H50" s="40" t="inlineStr"/>
      <c r="I50" s="40" t="inlineStr"/>
    </row>
    <row r="51" ht="22" customHeight="1">
      <c r="A51" s="43" t="n">
        <v>46070</v>
      </c>
      <c r="B51" s="44" t="inlineStr">
        <is>
          <t>Tuesday</t>
        </is>
      </c>
      <c r="C51" s="44" t="inlineStr"/>
      <c r="D51" s="44" t="inlineStr"/>
      <c r="E51" s="65" t="inlineStr"/>
      <c r="F51" s="65" t="inlineStr"/>
      <c r="G51" s="65">
        <f>IFERROR(IF(AND(E51&lt;&gt;"",F51&lt;&gt;""),E51-F51,IF(E51&lt;&gt;"",E51,IF(F51&lt;&gt;"",-F51,""))),"")</f>
        <v/>
      </c>
      <c r="H51" s="44" t="inlineStr"/>
      <c r="I51" s="44" t="inlineStr"/>
    </row>
    <row r="52" ht="22" customHeight="1">
      <c r="A52" s="39" t="n">
        <v>46071</v>
      </c>
      <c r="B52" s="40" t="inlineStr">
        <is>
          <t>Wednesday</t>
        </is>
      </c>
      <c r="C52" s="40" t="inlineStr"/>
      <c r="D52" s="40" t="inlineStr"/>
      <c r="E52" s="64" t="inlineStr"/>
      <c r="F52" s="64" t="inlineStr"/>
      <c r="G52" s="64">
        <f>IFERROR(IF(AND(E52&lt;&gt;"",F52&lt;&gt;""),E52-F52,IF(E52&lt;&gt;"",E52,IF(F52&lt;&gt;"",-F52,""))),"")</f>
        <v/>
      </c>
      <c r="H52" s="40" t="inlineStr"/>
      <c r="I52" s="40" t="inlineStr"/>
    </row>
    <row r="53" ht="22" customHeight="1">
      <c r="A53" s="43" t="n">
        <v>46072</v>
      </c>
      <c r="B53" s="44" t="inlineStr">
        <is>
          <t>Thursday</t>
        </is>
      </c>
      <c r="C53" s="44" t="inlineStr"/>
      <c r="D53" s="44" t="inlineStr"/>
      <c r="E53" s="65" t="inlineStr"/>
      <c r="F53" s="65" t="inlineStr"/>
      <c r="G53" s="65">
        <f>IFERROR(IF(AND(E53&lt;&gt;"",F53&lt;&gt;""),E53-F53,IF(E53&lt;&gt;"",E53,IF(F53&lt;&gt;"",-F53,""))),"")</f>
        <v/>
      </c>
      <c r="H53" s="44" t="inlineStr"/>
      <c r="I53" s="44" t="inlineStr"/>
    </row>
    <row r="54" ht="22" customHeight="1">
      <c r="A54" s="39" t="n">
        <v>46073</v>
      </c>
      <c r="B54" s="40" t="inlineStr">
        <is>
          <t>Friday</t>
        </is>
      </c>
      <c r="C54" s="40" t="inlineStr"/>
      <c r="D54" s="40" t="inlineStr"/>
      <c r="E54" s="64" t="inlineStr"/>
      <c r="F54" s="64" t="inlineStr"/>
      <c r="G54" s="64">
        <f>IFERROR(IF(AND(E54&lt;&gt;"",F54&lt;&gt;""),E54-F54,IF(E54&lt;&gt;"",E54,IF(F54&lt;&gt;"",-F54,""))),"")</f>
        <v/>
      </c>
      <c r="H54" s="40" t="inlineStr"/>
      <c r="I54" s="40" t="inlineStr"/>
    </row>
    <row r="55" ht="22" customHeight="1">
      <c r="A55" s="43" t="n">
        <v>46074</v>
      </c>
      <c r="B55" s="44" t="inlineStr">
        <is>
          <t>Saturday</t>
        </is>
      </c>
      <c r="C55" s="44" t="inlineStr"/>
      <c r="D55" s="44" t="inlineStr"/>
      <c r="E55" s="65" t="inlineStr"/>
      <c r="F55" s="65" t="inlineStr"/>
      <c r="G55" s="65">
        <f>IFERROR(IF(AND(E55&lt;&gt;"",F55&lt;&gt;""),E55-F55,IF(E55&lt;&gt;"",E55,IF(F55&lt;&gt;"",-F55,""))),"")</f>
        <v/>
      </c>
      <c r="H55" s="44" t="inlineStr"/>
      <c r="I55" s="44" t="inlineStr"/>
    </row>
    <row r="56" ht="22" customHeight="1">
      <c r="A56" s="39" t="n">
        <v>46075</v>
      </c>
      <c r="B56" s="40" t="inlineStr">
        <is>
          <t>Sunday</t>
        </is>
      </c>
      <c r="C56" s="40" t="inlineStr"/>
      <c r="D56" s="40" t="inlineStr"/>
      <c r="E56" s="64" t="inlineStr"/>
      <c r="F56" s="64" t="inlineStr"/>
      <c r="G56" s="64">
        <f>IFERROR(IF(AND(E56&lt;&gt;"",F56&lt;&gt;""),E56-F56,IF(E56&lt;&gt;"",E56,IF(F56&lt;&gt;"",-F56,""))),"")</f>
        <v/>
      </c>
      <c r="H56" s="40" t="inlineStr"/>
      <c r="I56" s="40" t="inlineStr"/>
    </row>
    <row r="57" ht="22" customHeight="1">
      <c r="A57" s="43" t="n">
        <v>46076</v>
      </c>
      <c r="B57" s="44" t="inlineStr">
        <is>
          <t>Monday</t>
        </is>
      </c>
      <c r="C57" s="44" t="inlineStr"/>
      <c r="D57" s="44" t="inlineStr"/>
      <c r="E57" s="65" t="inlineStr"/>
      <c r="F57" s="65" t="inlineStr"/>
      <c r="G57" s="65">
        <f>IFERROR(IF(AND(E57&lt;&gt;"",F57&lt;&gt;""),E57-F57,IF(E57&lt;&gt;"",E57,IF(F57&lt;&gt;"",-F57,""))),"")</f>
        <v/>
      </c>
      <c r="H57" s="44" t="inlineStr"/>
      <c r="I57" s="44" t="inlineStr"/>
    </row>
    <row r="58" ht="22" customHeight="1">
      <c r="A58" s="39" t="n">
        <v>46077</v>
      </c>
      <c r="B58" s="40" t="inlineStr">
        <is>
          <t>Tuesday</t>
        </is>
      </c>
      <c r="C58" s="40" t="inlineStr"/>
      <c r="D58" s="40" t="inlineStr"/>
      <c r="E58" s="64" t="inlineStr"/>
      <c r="F58" s="64" t="inlineStr"/>
      <c r="G58" s="64">
        <f>IFERROR(IF(AND(E58&lt;&gt;"",F58&lt;&gt;""),E58-F58,IF(E58&lt;&gt;"",E58,IF(F58&lt;&gt;"",-F58,""))),"")</f>
        <v/>
      </c>
      <c r="H58" s="40" t="inlineStr"/>
      <c r="I58" s="40" t="inlineStr"/>
    </row>
    <row r="59" ht="22" customHeight="1">
      <c r="A59" s="43" t="n">
        <v>46078</v>
      </c>
      <c r="B59" s="44" t="inlineStr">
        <is>
          <t>Wednesday</t>
        </is>
      </c>
      <c r="C59" s="44" t="inlineStr"/>
      <c r="D59" s="44" t="inlineStr"/>
      <c r="E59" s="65" t="inlineStr"/>
      <c r="F59" s="65" t="inlineStr"/>
      <c r="G59" s="65">
        <f>IFERROR(IF(AND(E59&lt;&gt;"",F59&lt;&gt;""),E59-F59,IF(E59&lt;&gt;"",E59,IF(F59&lt;&gt;"",-F59,""))),"")</f>
        <v/>
      </c>
      <c r="H59" s="44" t="inlineStr"/>
      <c r="I59" s="44" t="inlineStr"/>
    </row>
    <row r="60" ht="22" customHeight="1">
      <c r="A60" s="39" t="n">
        <v>46079</v>
      </c>
      <c r="B60" s="40" t="inlineStr">
        <is>
          <t>Thursday</t>
        </is>
      </c>
      <c r="C60" s="40" t="inlineStr"/>
      <c r="D60" s="40" t="inlineStr"/>
      <c r="E60" s="64" t="inlineStr"/>
      <c r="F60" s="64" t="inlineStr"/>
      <c r="G60" s="64">
        <f>IFERROR(IF(AND(E60&lt;&gt;"",F60&lt;&gt;""),E60-F60,IF(E60&lt;&gt;"",E60,IF(F60&lt;&gt;"",-F60,""))),"")</f>
        <v/>
      </c>
      <c r="H60" s="40" t="inlineStr"/>
      <c r="I60" s="40" t="inlineStr"/>
    </row>
    <row r="61" ht="22" customHeight="1">
      <c r="A61" s="43" t="n">
        <v>46080</v>
      </c>
      <c r="B61" s="44" t="inlineStr">
        <is>
          <t>Friday</t>
        </is>
      </c>
      <c r="C61" s="44" t="inlineStr"/>
      <c r="D61" s="44" t="inlineStr"/>
      <c r="E61" s="65" t="inlineStr"/>
      <c r="F61" s="65" t="inlineStr"/>
      <c r="G61" s="65">
        <f>IFERROR(IF(AND(E61&lt;&gt;"",F61&lt;&gt;""),E61-F61,IF(E61&lt;&gt;"",E61,IF(F61&lt;&gt;"",-F61,""))),"")</f>
        <v/>
      </c>
      <c r="H61" s="44" t="inlineStr"/>
      <c r="I61" s="44" t="inlineStr"/>
    </row>
    <row r="62" ht="22" customHeight="1">
      <c r="A62" s="39" t="n">
        <v>46081</v>
      </c>
      <c r="B62" s="40" t="inlineStr">
        <is>
          <t>Saturday</t>
        </is>
      </c>
      <c r="C62" s="40" t="inlineStr"/>
      <c r="D62" s="40" t="inlineStr"/>
      <c r="E62" s="64" t="inlineStr"/>
      <c r="F62" s="64" t="inlineStr"/>
      <c r="G62" s="64">
        <f>IFERROR(IF(AND(E62&lt;&gt;"",F62&lt;&gt;""),E62-F62,IF(E62&lt;&gt;"",E62,IF(F62&lt;&gt;"",-F62,""))),"")</f>
        <v/>
      </c>
      <c r="H62" s="40" t="inlineStr"/>
      <c r="I62" s="40" t="inlineStr"/>
    </row>
    <row r="63" ht="22" customHeight="1">
      <c r="A63" s="43" t="n">
        <v>46082</v>
      </c>
      <c r="B63" s="44" t="inlineStr">
        <is>
          <t>Sunday</t>
        </is>
      </c>
      <c r="C63" s="44" t="inlineStr"/>
      <c r="D63" s="44" t="inlineStr"/>
      <c r="E63" s="65" t="inlineStr"/>
      <c r="F63" s="65" t="inlineStr"/>
      <c r="G63" s="65">
        <f>IFERROR(IF(AND(E63&lt;&gt;"",F63&lt;&gt;""),E63-F63,IF(E63&lt;&gt;"",E63,IF(F63&lt;&gt;"",-F63,""))),"")</f>
        <v/>
      </c>
      <c r="H63" s="44" t="inlineStr"/>
      <c r="I63" s="44" t="inlineStr"/>
    </row>
    <row r="64" ht="22" customHeight="1">
      <c r="A64" s="39" t="n">
        <v>46083</v>
      </c>
      <c r="B64" s="40" t="inlineStr">
        <is>
          <t>Monday</t>
        </is>
      </c>
      <c r="C64" s="40" t="inlineStr"/>
      <c r="D64" s="40" t="inlineStr"/>
      <c r="E64" s="64" t="inlineStr"/>
      <c r="F64" s="64" t="inlineStr"/>
      <c r="G64" s="64">
        <f>IFERROR(IF(AND(E64&lt;&gt;"",F64&lt;&gt;""),E64-F64,IF(E64&lt;&gt;"",E64,IF(F64&lt;&gt;"",-F64,""))),"")</f>
        <v/>
      </c>
      <c r="H64" s="40" t="inlineStr"/>
      <c r="I64" s="40" t="inlineStr"/>
    </row>
    <row r="65" ht="22" customHeight="1">
      <c r="A65" s="43" t="n">
        <v>46084</v>
      </c>
      <c r="B65" s="44" t="inlineStr">
        <is>
          <t>Tuesday</t>
        </is>
      </c>
      <c r="C65" s="44" t="inlineStr"/>
      <c r="D65" s="44" t="inlineStr"/>
      <c r="E65" s="65" t="inlineStr"/>
      <c r="F65" s="65" t="inlineStr"/>
      <c r="G65" s="65">
        <f>IFERROR(IF(AND(E65&lt;&gt;"",F65&lt;&gt;""),E65-F65,IF(E65&lt;&gt;"",E65,IF(F65&lt;&gt;"",-F65,""))),"")</f>
        <v/>
      </c>
      <c r="H65" s="44" t="inlineStr"/>
      <c r="I65" s="44" t="inlineStr"/>
    </row>
    <row r="66" ht="22" customHeight="1">
      <c r="A66" s="39" t="n">
        <v>46085</v>
      </c>
      <c r="B66" s="40" t="inlineStr">
        <is>
          <t>Wednesday</t>
        </is>
      </c>
      <c r="C66" s="40" t="inlineStr"/>
      <c r="D66" s="40" t="inlineStr"/>
      <c r="E66" s="64" t="inlineStr"/>
      <c r="F66" s="64" t="inlineStr"/>
      <c r="G66" s="64">
        <f>IFERROR(IF(AND(E66&lt;&gt;"",F66&lt;&gt;""),E66-F66,IF(E66&lt;&gt;"",E66,IF(F66&lt;&gt;"",-F66,""))),"")</f>
        <v/>
      </c>
      <c r="H66" s="40" t="inlineStr"/>
      <c r="I66" s="40" t="inlineStr"/>
    </row>
    <row r="67" ht="22" customHeight="1">
      <c r="A67" s="43" t="n">
        <v>46086</v>
      </c>
      <c r="B67" s="44" t="inlineStr">
        <is>
          <t>Thursday</t>
        </is>
      </c>
      <c r="C67" s="44" t="inlineStr"/>
      <c r="D67" s="44" t="inlineStr"/>
      <c r="E67" s="65" t="inlineStr"/>
      <c r="F67" s="65" t="inlineStr"/>
      <c r="G67" s="65">
        <f>IFERROR(IF(AND(E67&lt;&gt;"",F67&lt;&gt;""),E67-F67,IF(E67&lt;&gt;"",E67,IF(F67&lt;&gt;"",-F67,""))),"")</f>
        <v/>
      </c>
      <c r="H67" s="44" t="inlineStr"/>
      <c r="I67" s="44" t="inlineStr"/>
    </row>
    <row r="68" ht="22" customHeight="1">
      <c r="A68" s="39" t="n">
        <v>46087</v>
      </c>
      <c r="B68" s="40" t="inlineStr">
        <is>
          <t>Friday</t>
        </is>
      </c>
      <c r="C68" s="40" t="inlineStr"/>
      <c r="D68" s="40" t="inlineStr"/>
      <c r="E68" s="64" t="inlineStr"/>
      <c r="F68" s="64" t="inlineStr"/>
      <c r="G68" s="64">
        <f>IFERROR(IF(AND(E68&lt;&gt;"",F68&lt;&gt;""),E68-F68,IF(E68&lt;&gt;"",E68,IF(F68&lt;&gt;"",-F68,""))),"")</f>
        <v/>
      </c>
      <c r="H68" s="40" t="inlineStr"/>
      <c r="I68" s="40" t="inlineStr"/>
    </row>
    <row r="69" ht="22" customHeight="1">
      <c r="A69" s="43" t="n">
        <v>46088</v>
      </c>
      <c r="B69" s="44" t="inlineStr">
        <is>
          <t>Saturday</t>
        </is>
      </c>
      <c r="C69" s="44" t="inlineStr"/>
      <c r="D69" s="44" t="inlineStr"/>
      <c r="E69" s="65" t="inlineStr"/>
      <c r="F69" s="65" t="inlineStr"/>
      <c r="G69" s="65">
        <f>IFERROR(IF(AND(E69&lt;&gt;"",F69&lt;&gt;""),E69-F69,IF(E69&lt;&gt;"",E69,IF(F69&lt;&gt;"",-F69,""))),"")</f>
        <v/>
      </c>
      <c r="H69" s="44" t="inlineStr"/>
      <c r="I69" s="44" t="inlineStr"/>
    </row>
    <row r="70" ht="22" customHeight="1">
      <c r="A70" s="39" t="n">
        <v>46089</v>
      </c>
      <c r="B70" s="40" t="inlineStr">
        <is>
          <t>Sunday</t>
        </is>
      </c>
      <c r="C70" s="40" t="inlineStr"/>
      <c r="D70" s="40" t="inlineStr"/>
      <c r="E70" s="64" t="inlineStr"/>
      <c r="F70" s="64" t="inlineStr"/>
      <c r="G70" s="64">
        <f>IFERROR(IF(AND(E70&lt;&gt;"",F70&lt;&gt;""),E70-F70,IF(E70&lt;&gt;"",E70,IF(F70&lt;&gt;"",-F70,""))),"")</f>
        <v/>
      </c>
      <c r="H70" s="40" t="inlineStr"/>
      <c r="I70" s="40" t="inlineStr"/>
    </row>
    <row r="71" ht="22" customHeight="1">
      <c r="A71" s="43" t="n">
        <v>46090</v>
      </c>
      <c r="B71" s="44" t="inlineStr">
        <is>
          <t>Monday</t>
        </is>
      </c>
      <c r="C71" s="44" t="inlineStr"/>
      <c r="D71" s="44" t="inlineStr"/>
      <c r="E71" s="65" t="inlineStr"/>
      <c r="F71" s="65" t="inlineStr"/>
      <c r="G71" s="65">
        <f>IFERROR(IF(AND(E71&lt;&gt;"",F71&lt;&gt;""),E71-F71,IF(E71&lt;&gt;"",E71,IF(F71&lt;&gt;"",-F71,""))),"")</f>
        <v/>
      </c>
      <c r="H71" s="44" t="inlineStr"/>
      <c r="I71" s="44" t="inlineStr"/>
    </row>
    <row r="72" ht="22" customHeight="1">
      <c r="A72" s="39" t="n">
        <v>46091</v>
      </c>
      <c r="B72" s="40" t="inlineStr">
        <is>
          <t>Tuesday</t>
        </is>
      </c>
      <c r="C72" s="40" t="inlineStr"/>
      <c r="D72" s="40" t="inlineStr"/>
      <c r="E72" s="64" t="inlineStr"/>
      <c r="F72" s="64" t="inlineStr"/>
      <c r="G72" s="64">
        <f>IFERROR(IF(AND(E72&lt;&gt;"",F72&lt;&gt;""),E72-F72,IF(E72&lt;&gt;"",E72,IF(F72&lt;&gt;"",-F72,""))),"")</f>
        <v/>
      </c>
      <c r="H72" s="40" t="inlineStr"/>
      <c r="I72" s="40" t="inlineStr"/>
    </row>
    <row r="73" ht="22" customHeight="1">
      <c r="A73" s="43" t="n">
        <v>46092</v>
      </c>
      <c r="B73" s="44" t="inlineStr">
        <is>
          <t>Wednesday</t>
        </is>
      </c>
      <c r="C73" s="44" t="inlineStr"/>
      <c r="D73" s="44" t="inlineStr"/>
      <c r="E73" s="65" t="inlineStr"/>
      <c r="F73" s="65" t="inlineStr"/>
      <c r="G73" s="65">
        <f>IFERROR(IF(AND(E73&lt;&gt;"",F73&lt;&gt;""),E73-F73,IF(E73&lt;&gt;"",E73,IF(F73&lt;&gt;"",-F73,""))),"")</f>
        <v/>
      </c>
      <c r="H73" s="44" t="inlineStr"/>
      <c r="I73" s="44" t="inlineStr"/>
    </row>
    <row r="74" ht="22" customHeight="1">
      <c r="A74" s="39" t="n">
        <v>46093</v>
      </c>
      <c r="B74" s="40" t="inlineStr">
        <is>
          <t>Thursday</t>
        </is>
      </c>
      <c r="C74" s="40" t="inlineStr"/>
      <c r="D74" s="40" t="inlineStr"/>
      <c r="E74" s="64" t="inlineStr"/>
      <c r="F74" s="64" t="inlineStr"/>
      <c r="G74" s="64">
        <f>IFERROR(IF(AND(E74&lt;&gt;"",F74&lt;&gt;""),E74-F74,IF(E74&lt;&gt;"",E74,IF(F74&lt;&gt;"",-F74,""))),"")</f>
        <v/>
      </c>
      <c r="H74" s="40" t="inlineStr"/>
      <c r="I74" s="40" t="inlineStr"/>
    </row>
    <row r="75" ht="22" customHeight="1">
      <c r="A75" s="43" t="n">
        <v>46094</v>
      </c>
      <c r="B75" s="44" t="inlineStr">
        <is>
          <t>Friday</t>
        </is>
      </c>
      <c r="C75" s="44" t="inlineStr"/>
      <c r="D75" s="44" t="inlineStr"/>
      <c r="E75" s="65" t="inlineStr"/>
      <c r="F75" s="65" t="inlineStr"/>
      <c r="G75" s="65">
        <f>IFERROR(IF(AND(E75&lt;&gt;"",F75&lt;&gt;""),E75-F75,IF(E75&lt;&gt;"",E75,IF(F75&lt;&gt;"",-F75,""))),"")</f>
        <v/>
      </c>
      <c r="H75" s="44" t="inlineStr"/>
      <c r="I75" s="44" t="inlineStr"/>
    </row>
    <row r="76" ht="22" customHeight="1">
      <c r="A76" s="39" t="n">
        <v>46095</v>
      </c>
      <c r="B76" s="40" t="inlineStr">
        <is>
          <t>Saturday</t>
        </is>
      </c>
      <c r="C76" s="40" t="inlineStr"/>
      <c r="D76" s="40" t="inlineStr"/>
      <c r="E76" s="64" t="inlineStr"/>
      <c r="F76" s="64" t="inlineStr"/>
      <c r="G76" s="64">
        <f>IFERROR(IF(AND(E76&lt;&gt;"",F76&lt;&gt;""),E76-F76,IF(E76&lt;&gt;"",E76,IF(F76&lt;&gt;"",-F76,""))),"")</f>
        <v/>
      </c>
      <c r="H76" s="40" t="inlineStr"/>
      <c r="I76" s="40" t="inlineStr"/>
    </row>
    <row r="77" ht="22" customHeight="1">
      <c r="A77" s="43" t="n">
        <v>46096</v>
      </c>
      <c r="B77" s="44" t="inlineStr">
        <is>
          <t>Sunday</t>
        </is>
      </c>
      <c r="C77" s="44" t="inlineStr"/>
      <c r="D77" s="44" t="inlineStr"/>
      <c r="E77" s="65" t="inlineStr"/>
      <c r="F77" s="65" t="inlineStr"/>
      <c r="G77" s="65">
        <f>IFERROR(IF(AND(E77&lt;&gt;"",F77&lt;&gt;""),E77-F77,IF(E77&lt;&gt;"",E77,IF(F77&lt;&gt;"",-F77,""))),"")</f>
        <v/>
      </c>
      <c r="H77" s="44" t="inlineStr"/>
      <c r="I77" s="44" t="inlineStr"/>
    </row>
    <row r="78" ht="22" customHeight="1">
      <c r="A78" s="39" t="n">
        <v>46097</v>
      </c>
      <c r="B78" s="40" t="inlineStr">
        <is>
          <t>Monday</t>
        </is>
      </c>
      <c r="C78" s="40" t="inlineStr"/>
      <c r="D78" s="40" t="inlineStr"/>
      <c r="E78" s="64" t="inlineStr"/>
      <c r="F78" s="64" t="inlineStr"/>
      <c r="G78" s="64">
        <f>IFERROR(IF(AND(E78&lt;&gt;"",F78&lt;&gt;""),E78-F78,IF(E78&lt;&gt;"",E78,IF(F78&lt;&gt;"",-F78,""))),"")</f>
        <v/>
      </c>
      <c r="H78" s="40" t="inlineStr"/>
      <c r="I78" s="40" t="inlineStr"/>
    </row>
    <row r="79" ht="22" customHeight="1">
      <c r="A79" s="43" t="n">
        <v>46098</v>
      </c>
      <c r="B79" s="44" t="inlineStr">
        <is>
          <t>Tuesday</t>
        </is>
      </c>
      <c r="C79" s="44" t="inlineStr"/>
      <c r="D79" s="44" t="inlineStr"/>
      <c r="E79" s="65" t="inlineStr"/>
      <c r="F79" s="65" t="inlineStr"/>
      <c r="G79" s="65">
        <f>IFERROR(IF(AND(E79&lt;&gt;"",F79&lt;&gt;""),E79-F79,IF(E79&lt;&gt;"",E79,IF(F79&lt;&gt;"",-F79,""))),"")</f>
        <v/>
      </c>
      <c r="H79" s="44" t="inlineStr"/>
      <c r="I79" s="44" t="inlineStr"/>
    </row>
    <row r="80" ht="22" customHeight="1">
      <c r="A80" s="39" t="n">
        <v>46099</v>
      </c>
      <c r="B80" s="40" t="inlineStr">
        <is>
          <t>Wednesday</t>
        </is>
      </c>
      <c r="C80" s="40" t="inlineStr"/>
      <c r="D80" s="40" t="inlineStr"/>
      <c r="E80" s="64" t="inlineStr"/>
      <c r="F80" s="64" t="inlineStr"/>
      <c r="G80" s="64">
        <f>IFERROR(IF(AND(E80&lt;&gt;"",F80&lt;&gt;""),E80-F80,IF(E80&lt;&gt;"",E80,IF(F80&lt;&gt;"",-F80,""))),"")</f>
        <v/>
      </c>
      <c r="H80" s="40" t="inlineStr"/>
      <c r="I80" s="40" t="inlineStr"/>
    </row>
    <row r="81" ht="22" customHeight="1">
      <c r="A81" s="43" t="n">
        <v>46100</v>
      </c>
      <c r="B81" s="44" t="inlineStr">
        <is>
          <t>Thursday</t>
        </is>
      </c>
      <c r="C81" s="44" t="inlineStr"/>
      <c r="D81" s="44" t="inlineStr"/>
      <c r="E81" s="65" t="inlineStr"/>
      <c r="F81" s="65" t="inlineStr"/>
      <c r="G81" s="65">
        <f>IFERROR(IF(AND(E81&lt;&gt;"",F81&lt;&gt;""),E81-F81,IF(E81&lt;&gt;"",E81,IF(F81&lt;&gt;"",-F81,""))),"")</f>
        <v/>
      </c>
      <c r="H81" s="44" t="inlineStr"/>
      <c r="I81" s="44" t="inlineStr"/>
    </row>
    <row r="82" ht="22" customHeight="1">
      <c r="A82" s="39" t="n">
        <v>46101</v>
      </c>
      <c r="B82" s="40" t="inlineStr">
        <is>
          <t>Friday</t>
        </is>
      </c>
      <c r="C82" s="40" t="inlineStr"/>
      <c r="D82" s="40" t="inlineStr"/>
      <c r="E82" s="64" t="inlineStr"/>
      <c r="F82" s="64" t="inlineStr"/>
      <c r="G82" s="64">
        <f>IFERROR(IF(AND(E82&lt;&gt;"",F82&lt;&gt;""),E82-F82,IF(E82&lt;&gt;"",E82,IF(F82&lt;&gt;"",-F82,""))),"")</f>
        <v/>
      </c>
      <c r="H82" s="40" t="inlineStr"/>
      <c r="I82" s="40" t="inlineStr"/>
    </row>
    <row r="83" ht="22" customHeight="1">
      <c r="A83" s="43" t="n">
        <v>46102</v>
      </c>
      <c r="B83" s="44" t="inlineStr">
        <is>
          <t>Saturday</t>
        </is>
      </c>
      <c r="C83" s="44" t="inlineStr"/>
      <c r="D83" s="44" t="inlineStr"/>
      <c r="E83" s="65" t="inlineStr"/>
      <c r="F83" s="65" t="inlineStr"/>
      <c r="G83" s="65">
        <f>IFERROR(IF(AND(E83&lt;&gt;"",F83&lt;&gt;""),E83-F83,IF(E83&lt;&gt;"",E83,IF(F83&lt;&gt;"",-F83,""))),"")</f>
        <v/>
      </c>
      <c r="H83" s="44" t="inlineStr"/>
      <c r="I83" s="44" t="inlineStr"/>
    </row>
    <row r="84" ht="22" customHeight="1">
      <c r="A84" s="39" t="n">
        <v>46103</v>
      </c>
      <c r="B84" s="40" t="inlineStr">
        <is>
          <t>Sunday</t>
        </is>
      </c>
      <c r="C84" s="40" t="inlineStr"/>
      <c r="D84" s="40" t="inlineStr"/>
      <c r="E84" s="64" t="inlineStr"/>
      <c r="F84" s="64" t="inlineStr"/>
      <c r="G84" s="64">
        <f>IFERROR(IF(AND(E84&lt;&gt;"",F84&lt;&gt;""),E84-F84,IF(E84&lt;&gt;"",E84,IF(F84&lt;&gt;"",-F84,""))),"")</f>
        <v/>
      </c>
      <c r="H84" s="40" t="inlineStr"/>
      <c r="I84" s="40" t="inlineStr"/>
    </row>
    <row r="85" ht="22" customHeight="1">
      <c r="A85" s="43" t="n">
        <v>46104</v>
      </c>
      <c r="B85" s="44" t="inlineStr">
        <is>
          <t>Monday</t>
        </is>
      </c>
      <c r="C85" s="44" t="inlineStr"/>
      <c r="D85" s="44" t="inlineStr"/>
      <c r="E85" s="65" t="inlineStr"/>
      <c r="F85" s="65" t="inlineStr"/>
      <c r="G85" s="65">
        <f>IFERROR(IF(AND(E85&lt;&gt;"",F85&lt;&gt;""),E85-F85,IF(E85&lt;&gt;"",E85,IF(F85&lt;&gt;"",-F85,""))),"")</f>
        <v/>
      </c>
      <c r="H85" s="44" t="inlineStr"/>
      <c r="I85" s="44" t="inlineStr"/>
    </row>
    <row r="86" ht="22" customHeight="1">
      <c r="A86" s="39" t="n">
        <v>46105</v>
      </c>
      <c r="B86" s="40" t="inlineStr">
        <is>
          <t>Tuesday</t>
        </is>
      </c>
      <c r="C86" s="40" t="inlineStr"/>
      <c r="D86" s="40" t="inlineStr"/>
      <c r="E86" s="64" t="inlineStr"/>
      <c r="F86" s="64" t="inlineStr"/>
      <c r="G86" s="64">
        <f>IFERROR(IF(AND(E86&lt;&gt;"",F86&lt;&gt;""),E86-F86,IF(E86&lt;&gt;"",E86,IF(F86&lt;&gt;"",-F86,""))),"")</f>
        <v/>
      </c>
      <c r="H86" s="40" t="inlineStr"/>
      <c r="I86" s="40" t="inlineStr"/>
    </row>
    <row r="87" ht="22" customHeight="1">
      <c r="A87" s="43" t="n">
        <v>46106</v>
      </c>
      <c r="B87" s="44" t="inlineStr">
        <is>
          <t>Wednesday</t>
        </is>
      </c>
      <c r="C87" s="44" t="inlineStr"/>
      <c r="D87" s="44" t="inlineStr"/>
      <c r="E87" s="65" t="inlineStr"/>
      <c r="F87" s="65" t="inlineStr"/>
      <c r="G87" s="65">
        <f>IFERROR(IF(AND(E87&lt;&gt;"",F87&lt;&gt;""),E87-F87,IF(E87&lt;&gt;"",E87,IF(F87&lt;&gt;"",-F87,""))),"")</f>
        <v/>
      </c>
      <c r="H87" s="44" t="inlineStr"/>
      <c r="I87" s="44" t="inlineStr"/>
    </row>
    <row r="88" ht="22" customHeight="1">
      <c r="A88" s="39" t="n">
        <v>46107</v>
      </c>
      <c r="B88" s="40" t="inlineStr">
        <is>
          <t>Thursday</t>
        </is>
      </c>
      <c r="C88" s="40" t="inlineStr"/>
      <c r="D88" s="40" t="inlineStr"/>
      <c r="E88" s="64" t="inlineStr"/>
      <c r="F88" s="64" t="inlineStr"/>
      <c r="G88" s="64">
        <f>IFERROR(IF(AND(E88&lt;&gt;"",F88&lt;&gt;""),E88-F88,IF(E88&lt;&gt;"",E88,IF(F88&lt;&gt;"",-F88,""))),"")</f>
        <v/>
      </c>
      <c r="H88" s="40" t="inlineStr"/>
      <c r="I88" s="40" t="inlineStr"/>
    </row>
    <row r="89" ht="22" customHeight="1">
      <c r="A89" s="43" t="n">
        <v>46108</v>
      </c>
      <c r="B89" s="44" t="inlineStr">
        <is>
          <t>Friday</t>
        </is>
      </c>
      <c r="C89" s="44" t="inlineStr"/>
      <c r="D89" s="44" t="inlineStr"/>
      <c r="E89" s="65" t="inlineStr"/>
      <c r="F89" s="65" t="inlineStr"/>
      <c r="G89" s="65">
        <f>IFERROR(IF(AND(E89&lt;&gt;"",F89&lt;&gt;""),E89-F89,IF(E89&lt;&gt;"",E89,IF(F89&lt;&gt;"",-F89,""))),"")</f>
        <v/>
      </c>
      <c r="H89" s="44" t="inlineStr"/>
      <c r="I89" s="44" t="inlineStr"/>
    </row>
    <row r="90" ht="22" customHeight="1">
      <c r="A90" s="39" t="n">
        <v>46109</v>
      </c>
      <c r="B90" s="40" t="inlineStr">
        <is>
          <t>Saturday</t>
        </is>
      </c>
      <c r="C90" s="40" t="inlineStr"/>
      <c r="D90" s="40" t="inlineStr"/>
      <c r="E90" s="64" t="inlineStr"/>
      <c r="F90" s="64" t="inlineStr"/>
      <c r="G90" s="64">
        <f>IFERROR(IF(AND(E90&lt;&gt;"",F90&lt;&gt;""),E90-F90,IF(E90&lt;&gt;"",E90,IF(F90&lt;&gt;"",-F90,""))),"")</f>
        <v/>
      </c>
      <c r="H90" s="40" t="inlineStr"/>
      <c r="I90" s="40" t="inlineStr"/>
    </row>
    <row r="91" ht="22" customHeight="1">
      <c r="A91" s="43" t="n">
        <v>46110</v>
      </c>
      <c r="B91" s="44" t="inlineStr">
        <is>
          <t>Sunday</t>
        </is>
      </c>
      <c r="C91" s="44" t="inlineStr"/>
      <c r="D91" s="44" t="inlineStr"/>
      <c r="E91" s="65" t="inlineStr"/>
      <c r="F91" s="65" t="inlineStr"/>
      <c r="G91" s="65">
        <f>IFERROR(IF(AND(E91&lt;&gt;"",F91&lt;&gt;""),E91-F91,IF(E91&lt;&gt;"",E91,IF(F91&lt;&gt;"",-F91,""))),"")</f>
        <v/>
      </c>
      <c r="H91" s="44" t="inlineStr"/>
      <c r="I91" s="44" t="inlineStr"/>
    </row>
    <row r="92" ht="22" customHeight="1">
      <c r="A92" s="39" t="n">
        <v>46111</v>
      </c>
      <c r="B92" s="40" t="inlineStr">
        <is>
          <t>Monday</t>
        </is>
      </c>
      <c r="C92" s="40" t="inlineStr"/>
      <c r="D92" s="40" t="inlineStr"/>
      <c r="E92" s="64" t="inlineStr"/>
      <c r="F92" s="64" t="inlineStr"/>
      <c r="G92" s="64">
        <f>IFERROR(IF(AND(E92&lt;&gt;"",F92&lt;&gt;""),E92-F92,IF(E92&lt;&gt;"",E92,IF(F92&lt;&gt;"",-F92,""))),"")</f>
        <v/>
      </c>
      <c r="H92" s="40" t="inlineStr"/>
      <c r="I92" s="40" t="inlineStr"/>
    </row>
    <row r="93" ht="22" customHeight="1">
      <c r="A93" s="43" t="n">
        <v>46112</v>
      </c>
      <c r="B93" s="44" t="inlineStr">
        <is>
          <t>Tuesday</t>
        </is>
      </c>
      <c r="C93" s="44" t="inlineStr"/>
      <c r="D93" s="44" t="inlineStr"/>
      <c r="E93" s="65" t="inlineStr"/>
      <c r="F93" s="65" t="inlineStr"/>
      <c r="G93" s="65">
        <f>IFERROR(IF(AND(E93&lt;&gt;"",F93&lt;&gt;""),E93-F93,IF(E93&lt;&gt;"",E93,IF(F93&lt;&gt;"",-F93,""))),"")</f>
        <v/>
      </c>
      <c r="H93" s="44" t="inlineStr"/>
      <c r="I93" s="44" t="inlineStr"/>
    </row>
    <row r="94" ht="22" customHeight="1">
      <c r="A94" s="39" t="n">
        <v>46113</v>
      </c>
      <c r="B94" s="40" t="inlineStr">
        <is>
          <t>Wednesday</t>
        </is>
      </c>
      <c r="C94" s="40" t="inlineStr"/>
      <c r="D94" s="40" t="inlineStr"/>
      <c r="E94" s="64" t="inlineStr"/>
      <c r="F94" s="64" t="inlineStr"/>
      <c r="G94" s="64">
        <f>IFERROR(IF(AND(E94&lt;&gt;"",F94&lt;&gt;""),E94-F94,IF(E94&lt;&gt;"",E94,IF(F94&lt;&gt;"",-F94,""))),"")</f>
        <v/>
      </c>
      <c r="H94" s="40" t="inlineStr"/>
      <c r="I94" s="40" t="inlineStr"/>
    </row>
    <row r="95" ht="22" customHeight="1">
      <c r="A95" s="43" t="n">
        <v>46114</v>
      </c>
      <c r="B95" s="44" t="inlineStr">
        <is>
          <t>Thursday</t>
        </is>
      </c>
      <c r="C95" s="44" t="inlineStr"/>
      <c r="D95" s="44" t="inlineStr"/>
      <c r="E95" s="65" t="inlineStr"/>
      <c r="F95" s="65" t="inlineStr"/>
      <c r="G95" s="65">
        <f>IFERROR(IF(AND(E95&lt;&gt;"",F95&lt;&gt;""),E95-F95,IF(E95&lt;&gt;"",E95,IF(F95&lt;&gt;"",-F95,""))),"")</f>
        <v/>
      </c>
      <c r="H95" s="44" t="inlineStr"/>
      <c r="I95" s="44" t="inlineStr"/>
    </row>
    <row r="96" ht="22" customHeight="1">
      <c r="A96" s="39" t="n">
        <v>46115</v>
      </c>
      <c r="B96" s="40" t="inlineStr">
        <is>
          <t>Friday</t>
        </is>
      </c>
      <c r="C96" s="40" t="inlineStr"/>
      <c r="D96" s="40" t="inlineStr"/>
      <c r="E96" s="64" t="inlineStr"/>
      <c r="F96" s="64" t="inlineStr"/>
      <c r="G96" s="64">
        <f>IFERROR(IF(AND(E96&lt;&gt;"",F96&lt;&gt;""),E96-F96,IF(E96&lt;&gt;"",E96,IF(F96&lt;&gt;"",-F96,""))),"")</f>
        <v/>
      </c>
      <c r="H96" s="40" t="inlineStr"/>
      <c r="I96" s="40" t="inlineStr"/>
    </row>
    <row r="97" ht="22" customHeight="1">
      <c r="A97" s="43" t="n">
        <v>46116</v>
      </c>
      <c r="B97" s="44" t="inlineStr">
        <is>
          <t>Saturday</t>
        </is>
      </c>
      <c r="C97" s="44" t="inlineStr"/>
      <c r="D97" s="44" t="inlineStr"/>
      <c r="E97" s="65" t="inlineStr"/>
      <c r="F97" s="65" t="inlineStr"/>
      <c r="G97" s="65">
        <f>IFERROR(IF(AND(E97&lt;&gt;"",F97&lt;&gt;""),E97-F97,IF(E97&lt;&gt;"",E97,IF(F97&lt;&gt;"",-F97,""))),"")</f>
        <v/>
      </c>
      <c r="H97" s="44" t="inlineStr"/>
      <c r="I97" s="44" t="inlineStr"/>
    </row>
    <row r="98" ht="22" customHeight="1">
      <c r="A98" s="39" t="n">
        <v>46117</v>
      </c>
      <c r="B98" s="40" t="inlineStr">
        <is>
          <t>Sunday</t>
        </is>
      </c>
      <c r="C98" s="40" t="inlineStr"/>
      <c r="D98" s="40" t="inlineStr"/>
      <c r="E98" s="64" t="inlineStr"/>
      <c r="F98" s="64" t="inlineStr"/>
      <c r="G98" s="64">
        <f>IFERROR(IF(AND(E98&lt;&gt;"",F98&lt;&gt;""),E98-F98,IF(E98&lt;&gt;"",E98,IF(F98&lt;&gt;"",-F98,""))),"")</f>
        <v/>
      </c>
      <c r="H98" s="40" t="inlineStr"/>
      <c r="I98" s="40" t="inlineStr"/>
    </row>
    <row r="99" ht="22" customHeight="1">
      <c r="A99" s="43" t="n">
        <v>46118</v>
      </c>
      <c r="B99" s="44" t="inlineStr">
        <is>
          <t>Monday</t>
        </is>
      </c>
      <c r="C99" s="44" t="inlineStr"/>
      <c r="D99" s="44" t="inlineStr"/>
      <c r="E99" s="65" t="inlineStr"/>
      <c r="F99" s="65" t="inlineStr"/>
      <c r="G99" s="65">
        <f>IFERROR(IF(AND(E99&lt;&gt;"",F99&lt;&gt;""),E99-F99,IF(E99&lt;&gt;"",E99,IF(F99&lt;&gt;"",-F99,""))),"")</f>
        <v/>
      </c>
      <c r="H99" s="44" t="inlineStr"/>
      <c r="I99" s="44" t="inlineStr"/>
    </row>
    <row r="100" ht="22" customHeight="1">
      <c r="A100" s="39" t="n">
        <v>46119</v>
      </c>
      <c r="B100" s="40" t="inlineStr">
        <is>
          <t>Tuesday</t>
        </is>
      </c>
      <c r="C100" s="40" t="inlineStr"/>
      <c r="D100" s="40" t="inlineStr"/>
      <c r="E100" s="64" t="inlineStr"/>
      <c r="F100" s="64" t="inlineStr"/>
      <c r="G100" s="64">
        <f>IFERROR(IF(AND(E100&lt;&gt;"",F100&lt;&gt;""),E100-F100,IF(E100&lt;&gt;"",E100,IF(F100&lt;&gt;"",-F100,""))),"")</f>
        <v/>
      </c>
      <c r="H100" s="40" t="inlineStr"/>
      <c r="I100" s="40" t="inlineStr"/>
    </row>
    <row r="101" ht="22" customHeight="1">
      <c r="A101" s="43" t="n">
        <v>46120</v>
      </c>
      <c r="B101" s="44" t="inlineStr">
        <is>
          <t>Wednesday</t>
        </is>
      </c>
      <c r="C101" s="44" t="inlineStr"/>
      <c r="D101" s="44" t="inlineStr"/>
      <c r="E101" s="65" t="inlineStr"/>
      <c r="F101" s="65" t="inlineStr"/>
      <c r="G101" s="65">
        <f>IFERROR(IF(AND(E101&lt;&gt;"",F101&lt;&gt;""),E101-F101,IF(E101&lt;&gt;"",E101,IF(F101&lt;&gt;"",-F101,""))),"")</f>
        <v/>
      </c>
      <c r="H101" s="44" t="inlineStr"/>
      <c r="I101" s="44" t="inlineStr"/>
    </row>
    <row r="102" ht="22" customHeight="1">
      <c r="A102" s="39" t="n">
        <v>46121</v>
      </c>
      <c r="B102" s="40" t="inlineStr">
        <is>
          <t>Thursday</t>
        </is>
      </c>
      <c r="C102" s="40" t="inlineStr"/>
      <c r="D102" s="40" t="inlineStr"/>
      <c r="E102" s="64" t="inlineStr"/>
      <c r="F102" s="64" t="inlineStr"/>
      <c r="G102" s="64">
        <f>IFERROR(IF(AND(E102&lt;&gt;"",F102&lt;&gt;""),E102-F102,IF(E102&lt;&gt;"",E102,IF(F102&lt;&gt;"",-F102,""))),"")</f>
        <v/>
      </c>
      <c r="H102" s="40" t="inlineStr"/>
      <c r="I102" s="40" t="inlineStr"/>
    </row>
    <row r="103" ht="22" customHeight="1">
      <c r="A103" s="43" t="n">
        <v>46122</v>
      </c>
      <c r="B103" s="44" t="inlineStr">
        <is>
          <t>Friday</t>
        </is>
      </c>
      <c r="C103" s="44" t="inlineStr"/>
      <c r="D103" s="44" t="inlineStr"/>
      <c r="E103" s="65" t="inlineStr"/>
      <c r="F103" s="65" t="inlineStr"/>
      <c r="G103" s="65">
        <f>IFERROR(IF(AND(E103&lt;&gt;"",F103&lt;&gt;""),E103-F103,IF(E103&lt;&gt;"",E103,IF(F103&lt;&gt;"",-F103,""))),"")</f>
        <v/>
      </c>
      <c r="H103" s="44" t="inlineStr"/>
      <c r="I103" s="44" t="inlineStr"/>
    </row>
    <row r="104" ht="22" customHeight="1">
      <c r="A104" s="39" t="n">
        <v>46123</v>
      </c>
      <c r="B104" s="40" t="inlineStr">
        <is>
          <t>Saturday</t>
        </is>
      </c>
      <c r="C104" s="40" t="inlineStr"/>
      <c r="D104" s="40" t="inlineStr"/>
      <c r="E104" s="64" t="inlineStr"/>
      <c r="F104" s="64" t="inlineStr"/>
      <c r="G104" s="64">
        <f>IFERROR(IF(AND(E104&lt;&gt;"",F104&lt;&gt;""),E104-F104,IF(E104&lt;&gt;"",E104,IF(F104&lt;&gt;"",-F104,""))),"")</f>
        <v/>
      </c>
      <c r="H104" s="40" t="inlineStr"/>
      <c r="I104" s="40" t="inlineStr"/>
    </row>
    <row r="105" ht="22" customHeight="1">
      <c r="A105" s="43" t="n">
        <v>46124</v>
      </c>
      <c r="B105" s="44" t="inlineStr">
        <is>
          <t>Sunday</t>
        </is>
      </c>
      <c r="C105" s="44" t="inlineStr"/>
      <c r="D105" s="44" t="inlineStr"/>
      <c r="E105" s="65" t="inlineStr"/>
      <c r="F105" s="65" t="inlineStr"/>
      <c r="G105" s="65">
        <f>IFERROR(IF(AND(E105&lt;&gt;"",F105&lt;&gt;""),E105-F105,IF(E105&lt;&gt;"",E105,IF(F105&lt;&gt;"",-F105,""))),"")</f>
        <v/>
      </c>
      <c r="H105" s="44" t="inlineStr"/>
      <c r="I105" s="44" t="inlineStr"/>
    </row>
    <row r="106" ht="22" customHeight="1">
      <c r="A106" s="39" t="n">
        <v>46125</v>
      </c>
      <c r="B106" s="40" t="inlineStr">
        <is>
          <t>Monday</t>
        </is>
      </c>
      <c r="C106" s="40" t="inlineStr"/>
      <c r="D106" s="40" t="inlineStr"/>
      <c r="E106" s="64" t="inlineStr"/>
      <c r="F106" s="64" t="inlineStr"/>
      <c r="G106" s="64">
        <f>IFERROR(IF(AND(E106&lt;&gt;"",F106&lt;&gt;""),E106-F106,IF(E106&lt;&gt;"",E106,IF(F106&lt;&gt;"",-F106,""))),"")</f>
        <v/>
      </c>
      <c r="H106" s="40" t="inlineStr"/>
      <c r="I106" s="40" t="inlineStr"/>
    </row>
    <row r="107" ht="22" customHeight="1">
      <c r="A107" s="43" t="n">
        <v>46126</v>
      </c>
      <c r="B107" s="44" t="inlineStr">
        <is>
          <t>Tuesday</t>
        </is>
      </c>
      <c r="C107" s="44" t="inlineStr"/>
      <c r="D107" s="44" t="inlineStr"/>
      <c r="E107" s="65" t="inlineStr"/>
      <c r="F107" s="65" t="inlineStr"/>
      <c r="G107" s="65">
        <f>IFERROR(IF(AND(E107&lt;&gt;"",F107&lt;&gt;""),E107-F107,IF(E107&lt;&gt;"",E107,IF(F107&lt;&gt;"",-F107,""))),"")</f>
        <v/>
      </c>
      <c r="H107" s="44" t="inlineStr"/>
      <c r="I107" s="44" t="inlineStr"/>
    </row>
    <row r="108" ht="22" customHeight="1">
      <c r="A108" s="39" t="n">
        <v>46127</v>
      </c>
      <c r="B108" s="40" t="inlineStr">
        <is>
          <t>Wednesday</t>
        </is>
      </c>
      <c r="C108" s="40" t="inlineStr"/>
      <c r="D108" s="40" t="inlineStr"/>
      <c r="E108" s="64" t="inlineStr"/>
      <c r="F108" s="64" t="inlineStr"/>
      <c r="G108" s="64">
        <f>IFERROR(IF(AND(E108&lt;&gt;"",F108&lt;&gt;""),E108-F108,IF(E108&lt;&gt;"",E108,IF(F108&lt;&gt;"",-F108,""))),"")</f>
        <v/>
      </c>
      <c r="H108" s="40" t="inlineStr"/>
      <c r="I108" s="40" t="inlineStr"/>
    </row>
    <row r="109" ht="22" customHeight="1">
      <c r="A109" s="43" t="n">
        <v>46128</v>
      </c>
      <c r="B109" s="44" t="inlineStr">
        <is>
          <t>Thursday</t>
        </is>
      </c>
      <c r="C109" s="44" t="inlineStr"/>
      <c r="D109" s="44" t="inlineStr"/>
      <c r="E109" s="65" t="inlineStr"/>
      <c r="F109" s="65" t="inlineStr"/>
      <c r="G109" s="65">
        <f>IFERROR(IF(AND(E109&lt;&gt;"",F109&lt;&gt;""),E109-F109,IF(E109&lt;&gt;"",E109,IF(F109&lt;&gt;"",-F109,""))),"")</f>
        <v/>
      </c>
      <c r="H109" s="44" t="inlineStr"/>
      <c r="I109" s="44" t="inlineStr"/>
    </row>
    <row r="110" ht="22" customHeight="1">
      <c r="A110" s="39" t="n">
        <v>46129</v>
      </c>
      <c r="B110" s="40" t="inlineStr">
        <is>
          <t>Friday</t>
        </is>
      </c>
      <c r="C110" s="40" t="inlineStr"/>
      <c r="D110" s="40" t="inlineStr"/>
      <c r="E110" s="64" t="inlineStr"/>
      <c r="F110" s="64" t="inlineStr"/>
      <c r="G110" s="64">
        <f>IFERROR(IF(AND(E110&lt;&gt;"",F110&lt;&gt;""),E110-F110,IF(E110&lt;&gt;"",E110,IF(F110&lt;&gt;"",-F110,""))),"")</f>
        <v/>
      </c>
      <c r="H110" s="40" t="inlineStr"/>
      <c r="I110" s="40" t="inlineStr"/>
    </row>
    <row r="111" ht="22" customHeight="1">
      <c r="A111" s="43" t="n">
        <v>46130</v>
      </c>
      <c r="B111" s="44" t="inlineStr">
        <is>
          <t>Saturday</t>
        </is>
      </c>
      <c r="C111" s="44" t="inlineStr"/>
      <c r="D111" s="44" t="inlineStr"/>
      <c r="E111" s="65" t="inlineStr"/>
      <c r="F111" s="65" t="inlineStr"/>
      <c r="G111" s="65">
        <f>IFERROR(IF(AND(E111&lt;&gt;"",F111&lt;&gt;""),E111-F111,IF(E111&lt;&gt;"",E111,IF(F111&lt;&gt;"",-F111,""))),"")</f>
        <v/>
      </c>
      <c r="H111" s="44" t="inlineStr"/>
      <c r="I111" s="44" t="inlineStr"/>
    </row>
    <row r="112" ht="22" customHeight="1">
      <c r="A112" s="39" t="n">
        <v>46131</v>
      </c>
      <c r="B112" s="40" t="inlineStr">
        <is>
          <t>Sunday</t>
        </is>
      </c>
      <c r="C112" s="40" t="inlineStr"/>
      <c r="D112" s="40" t="inlineStr"/>
      <c r="E112" s="64" t="inlineStr"/>
      <c r="F112" s="64" t="inlineStr"/>
      <c r="G112" s="64">
        <f>IFERROR(IF(AND(E112&lt;&gt;"",F112&lt;&gt;""),E112-F112,IF(E112&lt;&gt;"",E112,IF(F112&lt;&gt;"",-F112,""))),"")</f>
        <v/>
      </c>
      <c r="H112" s="40" t="inlineStr"/>
      <c r="I112" s="40" t="inlineStr"/>
    </row>
    <row r="113" ht="22" customHeight="1">
      <c r="A113" s="43" t="n">
        <v>46132</v>
      </c>
      <c r="B113" s="44" t="inlineStr">
        <is>
          <t>Monday</t>
        </is>
      </c>
      <c r="C113" s="44" t="inlineStr"/>
      <c r="D113" s="44" t="inlineStr"/>
      <c r="E113" s="65" t="inlineStr"/>
      <c r="F113" s="65" t="inlineStr"/>
      <c r="G113" s="65">
        <f>IFERROR(IF(AND(E113&lt;&gt;"",F113&lt;&gt;""),E113-F113,IF(E113&lt;&gt;"",E113,IF(F113&lt;&gt;"",-F113,""))),"")</f>
        <v/>
      </c>
      <c r="H113" s="44" t="inlineStr"/>
      <c r="I113" s="44" t="inlineStr"/>
    </row>
    <row r="114" ht="22" customHeight="1">
      <c r="A114" s="39" t="n">
        <v>46133</v>
      </c>
      <c r="B114" s="40" t="inlineStr">
        <is>
          <t>Tuesday</t>
        </is>
      </c>
      <c r="C114" s="40" t="inlineStr"/>
      <c r="D114" s="40" t="inlineStr"/>
      <c r="E114" s="64" t="inlineStr"/>
      <c r="F114" s="64" t="inlineStr"/>
      <c r="G114" s="64">
        <f>IFERROR(IF(AND(E114&lt;&gt;"",F114&lt;&gt;""),E114-F114,IF(E114&lt;&gt;"",E114,IF(F114&lt;&gt;"",-F114,""))),"")</f>
        <v/>
      </c>
      <c r="H114" s="40" t="inlineStr"/>
      <c r="I114" s="40" t="inlineStr"/>
    </row>
    <row r="115" ht="22" customHeight="1">
      <c r="A115" s="43" t="n">
        <v>46134</v>
      </c>
      <c r="B115" s="44" t="inlineStr">
        <is>
          <t>Wednesday</t>
        </is>
      </c>
      <c r="C115" s="44" t="inlineStr"/>
      <c r="D115" s="44" t="inlineStr"/>
      <c r="E115" s="65" t="inlineStr"/>
      <c r="F115" s="65" t="inlineStr"/>
      <c r="G115" s="65">
        <f>IFERROR(IF(AND(E115&lt;&gt;"",F115&lt;&gt;""),E115-F115,IF(E115&lt;&gt;"",E115,IF(F115&lt;&gt;"",-F115,""))),"")</f>
        <v/>
      </c>
      <c r="H115" s="44" t="inlineStr"/>
      <c r="I115" s="44" t="inlineStr"/>
    </row>
    <row r="116" ht="22" customHeight="1">
      <c r="A116" s="39" t="n">
        <v>46135</v>
      </c>
      <c r="B116" s="40" t="inlineStr">
        <is>
          <t>Thursday</t>
        </is>
      </c>
      <c r="C116" s="40" t="inlineStr"/>
      <c r="D116" s="40" t="inlineStr"/>
      <c r="E116" s="64" t="inlineStr"/>
      <c r="F116" s="64" t="inlineStr"/>
      <c r="G116" s="64">
        <f>IFERROR(IF(AND(E116&lt;&gt;"",F116&lt;&gt;""),E116-F116,IF(E116&lt;&gt;"",E116,IF(F116&lt;&gt;"",-F116,""))),"")</f>
        <v/>
      </c>
      <c r="H116" s="40" t="inlineStr"/>
      <c r="I116" s="40" t="inlineStr"/>
    </row>
    <row r="117" ht="22" customHeight="1">
      <c r="A117" s="43" t="n">
        <v>46136</v>
      </c>
      <c r="B117" s="44" t="inlineStr">
        <is>
          <t>Friday</t>
        </is>
      </c>
      <c r="C117" s="44" t="inlineStr"/>
      <c r="D117" s="44" t="inlineStr"/>
      <c r="E117" s="65" t="inlineStr"/>
      <c r="F117" s="65" t="inlineStr"/>
      <c r="G117" s="65">
        <f>IFERROR(IF(AND(E117&lt;&gt;"",F117&lt;&gt;""),E117-F117,IF(E117&lt;&gt;"",E117,IF(F117&lt;&gt;"",-F117,""))),"")</f>
        <v/>
      </c>
      <c r="H117" s="44" t="inlineStr"/>
      <c r="I117" s="44" t="inlineStr"/>
    </row>
    <row r="118" ht="22" customHeight="1">
      <c r="A118" s="39" t="n">
        <v>46137</v>
      </c>
      <c r="B118" s="40" t="inlineStr">
        <is>
          <t>Saturday</t>
        </is>
      </c>
      <c r="C118" s="40" t="inlineStr"/>
      <c r="D118" s="40" t="inlineStr"/>
      <c r="E118" s="64" t="inlineStr"/>
      <c r="F118" s="64" t="inlineStr"/>
      <c r="G118" s="64">
        <f>IFERROR(IF(AND(E118&lt;&gt;"",F118&lt;&gt;""),E118-F118,IF(E118&lt;&gt;"",E118,IF(F118&lt;&gt;"",-F118,""))),"")</f>
        <v/>
      </c>
      <c r="H118" s="40" t="inlineStr"/>
      <c r="I118" s="40" t="inlineStr"/>
    </row>
    <row r="119" ht="22" customHeight="1">
      <c r="A119" s="43" t="n">
        <v>46138</v>
      </c>
      <c r="B119" s="44" t="inlineStr">
        <is>
          <t>Sunday</t>
        </is>
      </c>
      <c r="C119" s="44" t="inlineStr"/>
      <c r="D119" s="44" t="inlineStr"/>
      <c r="E119" s="65" t="inlineStr"/>
      <c r="F119" s="65" t="inlineStr"/>
      <c r="G119" s="65">
        <f>IFERROR(IF(AND(E119&lt;&gt;"",F119&lt;&gt;""),E119-F119,IF(E119&lt;&gt;"",E119,IF(F119&lt;&gt;"",-F119,""))),"")</f>
        <v/>
      </c>
      <c r="H119" s="44" t="inlineStr"/>
      <c r="I119" s="44" t="inlineStr"/>
    </row>
    <row r="120" ht="22" customHeight="1">
      <c r="A120" s="39" t="n">
        <v>46139</v>
      </c>
      <c r="B120" s="40" t="inlineStr">
        <is>
          <t>Monday</t>
        </is>
      </c>
      <c r="C120" s="40" t="inlineStr"/>
      <c r="D120" s="40" t="inlineStr"/>
      <c r="E120" s="64" t="inlineStr"/>
      <c r="F120" s="64" t="inlineStr"/>
      <c r="G120" s="64">
        <f>IFERROR(IF(AND(E120&lt;&gt;"",F120&lt;&gt;""),E120-F120,IF(E120&lt;&gt;"",E120,IF(F120&lt;&gt;"",-F120,""))),"")</f>
        <v/>
      </c>
      <c r="H120" s="40" t="inlineStr"/>
      <c r="I120" s="40" t="inlineStr"/>
    </row>
    <row r="121" ht="22" customHeight="1">
      <c r="A121" s="43" t="n">
        <v>46140</v>
      </c>
      <c r="B121" s="44" t="inlineStr">
        <is>
          <t>Tuesday</t>
        </is>
      </c>
      <c r="C121" s="44" t="inlineStr"/>
      <c r="D121" s="44" t="inlineStr"/>
      <c r="E121" s="65" t="inlineStr"/>
      <c r="F121" s="65" t="inlineStr"/>
      <c r="G121" s="65">
        <f>IFERROR(IF(AND(E121&lt;&gt;"",F121&lt;&gt;""),E121-F121,IF(E121&lt;&gt;"",E121,IF(F121&lt;&gt;"",-F121,""))),"")</f>
        <v/>
      </c>
      <c r="H121" s="44" t="inlineStr"/>
      <c r="I121" s="44" t="inlineStr"/>
    </row>
    <row r="122" ht="22" customHeight="1">
      <c r="A122" s="39" t="n">
        <v>46141</v>
      </c>
      <c r="B122" s="40" t="inlineStr">
        <is>
          <t>Wednesday</t>
        </is>
      </c>
      <c r="C122" s="40" t="inlineStr"/>
      <c r="D122" s="40" t="inlineStr"/>
      <c r="E122" s="64" t="inlineStr"/>
      <c r="F122" s="64" t="inlineStr"/>
      <c r="G122" s="64">
        <f>IFERROR(IF(AND(E122&lt;&gt;"",F122&lt;&gt;""),E122-F122,IF(E122&lt;&gt;"",E122,IF(F122&lt;&gt;"",-F122,""))),"")</f>
        <v/>
      </c>
      <c r="H122" s="40" t="inlineStr"/>
      <c r="I122" s="40" t="inlineStr"/>
    </row>
    <row r="123" ht="22" customHeight="1">
      <c r="A123" s="43" t="n">
        <v>46142</v>
      </c>
      <c r="B123" s="44" t="inlineStr">
        <is>
          <t>Thursday</t>
        </is>
      </c>
      <c r="C123" s="44" t="inlineStr"/>
      <c r="D123" s="44" t="inlineStr"/>
      <c r="E123" s="65" t="inlineStr"/>
      <c r="F123" s="65" t="inlineStr"/>
      <c r="G123" s="65">
        <f>IFERROR(IF(AND(E123&lt;&gt;"",F123&lt;&gt;""),E123-F123,IF(E123&lt;&gt;"",E123,IF(F123&lt;&gt;"",-F123,""))),"")</f>
        <v/>
      </c>
      <c r="H123" s="44" t="inlineStr"/>
      <c r="I123" s="44" t="inlineStr"/>
    </row>
    <row r="124" ht="22" customHeight="1">
      <c r="A124" s="39" t="n">
        <v>46143</v>
      </c>
      <c r="B124" s="40" t="inlineStr">
        <is>
          <t>Friday</t>
        </is>
      </c>
      <c r="C124" s="40" t="inlineStr"/>
      <c r="D124" s="40" t="inlineStr"/>
      <c r="E124" s="64" t="inlineStr"/>
      <c r="F124" s="64" t="inlineStr"/>
      <c r="G124" s="64">
        <f>IFERROR(IF(AND(E124&lt;&gt;"",F124&lt;&gt;""),E124-F124,IF(E124&lt;&gt;"",E124,IF(F124&lt;&gt;"",-F124,""))),"")</f>
        <v/>
      </c>
      <c r="H124" s="40" t="inlineStr"/>
      <c r="I124" s="40" t="inlineStr"/>
    </row>
    <row r="125" ht="22" customHeight="1">
      <c r="A125" s="43" t="n">
        <v>46144</v>
      </c>
      <c r="B125" s="44" t="inlineStr">
        <is>
          <t>Saturday</t>
        </is>
      </c>
      <c r="C125" s="44" t="inlineStr"/>
      <c r="D125" s="44" t="inlineStr"/>
      <c r="E125" s="65" t="inlineStr"/>
      <c r="F125" s="65" t="inlineStr"/>
      <c r="G125" s="65">
        <f>IFERROR(IF(AND(E125&lt;&gt;"",F125&lt;&gt;""),E125-F125,IF(E125&lt;&gt;"",E125,IF(F125&lt;&gt;"",-F125,""))),"")</f>
        <v/>
      </c>
      <c r="H125" s="44" t="inlineStr"/>
      <c r="I125" s="44" t="inlineStr"/>
    </row>
    <row r="126" ht="22" customHeight="1">
      <c r="A126" s="39" t="n">
        <v>46145</v>
      </c>
      <c r="B126" s="40" t="inlineStr">
        <is>
          <t>Sunday</t>
        </is>
      </c>
      <c r="C126" s="40" t="inlineStr"/>
      <c r="D126" s="40" t="inlineStr"/>
      <c r="E126" s="64" t="inlineStr"/>
      <c r="F126" s="64" t="inlineStr"/>
      <c r="G126" s="64">
        <f>IFERROR(IF(AND(E126&lt;&gt;"",F126&lt;&gt;""),E126-F126,IF(E126&lt;&gt;"",E126,IF(F126&lt;&gt;"",-F126,""))),"")</f>
        <v/>
      </c>
      <c r="H126" s="40" t="inlineStr"/>
      <c r="I126" s="40" t="inlineStr"/>
    </row>
    <row r="127" ht="22" customHeight="1">
      <c r="A127" s="43" t="n">
        <v>46146</v>
      </c>
      <c r="B127" s="44" t="inlineStr">
        <is>
          <t>Monday</t>
        </is>
      </c>
      <c r="C127" s="44" t="inlineStr"/>
      <c r="D127" s="44" t="inlineStr"/>
      <c r="E127" s="65" t="inlineStr"/>
      <c r="F127" s="65" t="inlineStr"/>
      <c r="G127" s="65">
        <f>IFERROR(IF(AND(E127&lt;&gt;"",F127&lt;&gt;""),E127-F127,IF(E127&lt;&gt;"",E127,IF(F127&lt;&gt;"",-F127,""))),"")</f>
        <v/>
      </c>
      <c r="H127" s="44" t="inlineStr"/>
      <c r="I127" s="44" t="inlineStr"/>
    </row>
    <row r="128" ht="22" customHeight="1">
      <c r="A128" s="39" t="n">
        <v>46147</v>
      </c>
      <c r="B128" s="40" t="inlineStr">
        <is>
          <t>Tuesday</t>
        </is>
      </c>
      <c r="C128" s="40" t="inlineStr"/>
      <c r="D128" s="40" t="inlineStr"/>
      <c r="E128" s="64" t="inlineStr"/>
      <c r="F128" s="64" t="inlineStr"/>
      <c r="G128" s="64">
        <f>IFERROR(IF(AND(E128&lt;&gt;"",F128&lt;&gt;""),E128-F128,IF(E128&lt;&gt;"",E128,IF(F128&lt;&gt;"",-F128,""))),"")</f>
        <v/>
      </c>
      <c r="H128" s="40" t="inlineStr"/>
      <c r="I128" s="40" t="inlineStr"/>
    </row>
    <row r="129" ht="22" customHeight="1">
      <c r="A129" s="43" t="n">
        <v>46148</v>
      </c>
      <c r="B129" s="44" t="inlineStr">
        <is>
          <t>Wednesday</t>
        </is>
      </c>
      <c r="C129" s="44" t="inlineStr"/>
      <c r="D129" s="44" t="inlineStr"/>
      <c r="E129" s="65" t="inlineStr"/>
      <c r="F129" s="65" t="inlineStr"/>
      <c r="G129" s="65">
        <f>IFERROR(IF(AND(E129&lt;&gt;"",F129&lt;&gt;""),E129-F129,IF(E129&lt;&gt;"",E129,IF(F129&lt;&gt;"",-F129,""))),"")</f>
        <v/>
      </c>
      <c r="H129" s="44" t="inlineStr"/>
      <c r="I129" s="44" t="inlineStr"/>
    </row>
    <row r="130" ht="22" customHeight="1">
      <c r="A130" s="39" t="n">
        <v>46149</v>
      </c>
      <c r="B130" s="40" t="inlineStr">
        <is>
          <t>Thursday</t>
        </is>
      </c>
      <c r="C130" s="40" t="inlineStr"/>
      <c r="D130" s="40" t="inlineStr"/>
      <c r="E130" s="64" t="inlineStr"/>
      <c r="F130" s="64" t="inlineStr"/>
      <c r="G130" s="64">
        <f>IFERROR(IF(AND(E130&lt;&gt;"",F130&lt;&gt;""),E130-F130,IF(E130&lt;&gt;"",E130,IF(F130&lt;&gt;"",-F130,""))),"")</f>
        <v/>
      </c>
      <c r="H130" s="40" t="inlineStr"/>
      <c r="I130" s="40" t="inlineStr"/>
    </row>
    <row r="131" ht="22" customHeight="1">
      <c r="A131" s="43" t="n">
        <v>46150</v>
      </c>
      <c r="B131" s="44" t="inlineStr">
        <is>
          <t>Friday</t>
        </is>
      </c>
      <c r="C131" s="44" t="inlineStr"/>
      <c r="D131" s="44" t="inlineStr"/>
      <c r="E131" s="65" t="inlineStr"/>
      <c r="F131" s="65" t="inlineStr"/>
      <c r="G131" s="65">
        <f>IFERROR(IF(AND(E131&lt;&gt;"",F131&lt;&gt;""),E131-F131,IF(E131&lt;&gt;"",E131,IF(F131&lt;&gt;"",-F131,""))),"")</f>
        <v/>
      </c>
      <c r="H131" s="44" t="inlineStr"/>
      <c r="I131" s="44" t="inlineStr"/>
    </row>
    <row r="132" ht="22" customHeight="1">
      <c r="A132" s="39" t="n">
        <v>46151</v>
      </c>
      <c r="B132" s="40" t="inlineStr">
        <is>
          <t>Saturday</t>
        </is>
      </c>
      <c r="C132" s="40" t="inlineStr"/>
      <c r="D132" s="40" t="inlineStr"/>
      <c r="E132" s="64" t="inlineStr"/>
      <c r="F132" s="64" t="inlineStr"/>
      <c r="G132" s="64">
        <f>IFERROR(IF(AND(E132&lt;&gt;"",F132&lt;&gt;""),E132-F132,IF(E132&lt;&gt;"",E132,IF(F132&lt;&gt;"",-F132,""))),"")</f>
        <v/>
      </c>
      <c r="H132" s="40" t="inlineStr"/>
      <c r="I132" s="40" t="inlineStr"/>
    </row>
    <row r="133" ht="22" customHeight="1">
      <c r="A133" s="43" t="n">
        <v>46152</v>
      </c>
      <c r="B133" s="44" t="inlineStr">
        <is>
          <t>Sunday</t>
        </is>
      </c>
      <c r="C133" s="44" t="inlineStr"/>
      <c r="D133" s="44" t="inlineStr"/>
      <c r="E133" s="65" t="inlineStr"/>
      <c r="F133" s="65" t="inlineStr"/>
      <c r="G133" s="65">
        <f>IFERROR(IF(AND(E133&lt;&gt;"",F133&lt;&gt;""),E133-F133,IF(E133&lt;&gt;"",E133,IF(F133&lt;&gt;"",-F133,""))),"")</f>
        <v/>
      </c>
      <c r="H133" s="44" t="inlineStr"/>
      <c r="I133" s="44" t="inlineStr"/>
    </row>
    <row r="134" ht="22" customHeight="1">
      <c r="A134" s="39" t="n">
        <v>46153</v>
      </c>
      <c r="B134" s="40" t="inlineStr">
        <is>
          <t>Monday</t>
        </is>
      </c>
      <c r="C134" s="40" t="inlineStr"/>
      <c r="D134" s="40" t="inlineStr"/>
      <c r="E134" s="64" t="inlineStr"/>
      <c r="F134" s="64" t="inlineStr"/>
      <c r="G134" s="64">
        <f>IFERROR(IF(AND(E134&lt;&gt;"",F134&lt;&gt;""),E134-F134,IF(E134&lt;&gt;"",E134,IF(F134&lt;&gt;"",-F134,""))),"")</f>
        <v/>
      </c>
      <c r="H134" s="40" t="inlineStr"/>
      <c r="I134" s="40" t="inlineStr"/>
    </row>
    <row r="135" ht="22" customHeight="1">
      <c r="A135" s="43" t="n">
        <v>46154</v>
      </c>
      <c r="B135" s="44" t="inlineStr">
        <is>
          <t>Tuesday</t>
        </is>
      </c>
      <c r="C135" s="44" t="inlineStr"/>
      <c r="D135" s="44" t="inlineStr"/>
      <c r="E135" s="65" t="inlineStr"/>
      <c r="F135" s="65" t="inlineStr"/>
      <c r="G135" s="65">
        <f>IFERROR(IF(AND(E135&lt;&gt;"",F135&lt;&gt;""),E135-F135,IF(E135&lt;&gt;"",E135,IF(F135&lt;&gt;"",-F135,""))),"")</f>
        <v/>
      </c>
      <c r="H135" s="44" t="inlineStr"/>
      <c r="I135" s="44" t="inlineStr"/>
    </row>
    <row r="136" ht="22" customHeight="1">
      <c r="A136" s="39" t="n">
        <v>46155</v>
      </c>
      <c r="B136" s="40" t="inlineStr">
        <is>
          <t>Wednesday</t>
        </is>
      </c>
      <c r="C136" s="40" t="inlineStr"/>
      <c r="D136" s="40" t="inlineStr"/>
      <c r="E136" s="64" t="inlineStr"/>
      <c r="F136" s="64" t="inlineStr"/>
      <c r="G136" s="64">
        <f>IFERROR(IF(AND(E136&lt;&gt;"",F136&lt;&gt;""),E136-F136,IF(E136&lt;&gt;"",E136,IF(F136&lt;&gt;"",-F136,""))),"")</f>
        <v/>
      </c>
      <c r="H136" s="40" t="inlineStr"/>
      <c r="I136" s="40" t="inlineStr"/>
    </row>
    <row r="137" ht="22" customHeight="1">
      <c r="A137" s="43" t="n">
        <v>46156</v>
      </c>
      <c r="B137" s="44" t="inlineStr">
        <is>
          <t>Thursday</t>
        </is>
      </c>
      <c r="C137" s="44" t="inlineStr"/>
      <c r="D137" s="44" t="inlineStr"/>
      <c r="E137" s="65" t="inlineStr"/>
      <c r="F137" s="65" t="inlineStr"/>
      <c r="G137" s="65">
        <f>IFERROR(IF(AND(E137&lt;&gt;"",F137&lt;&gt;""),E137-F137,IF(E137&lt;&gt;"",E137,IF(F137&lt;&gt;"",-F137,""))),"")</f>
        <v/>
      </c>
      <c r="H137" s="44" t="inlineStr"/>
      <c r="I137" s="44" t="inlineStr"/>
    </row>
    <row r="138" ht="22" customHeight="1">
      <c r="A138" s="39" t="n">
        <v>46157</v>
      </c>
      <c r="B138" s="40" t="inlineStr">
        <is>
          <t>Friday</t>
        </is>
      </c>
      <c r="C138" s="40" t="inlineStr"/>
      <c r="D138" s="40" t="inlineStr"/>
      <c r="E138" s="64" t="inlineStr"/>
      <c r="F138" s="64" t="inlineStr"/>
      <c r="G138" s="64">
        <f>IFERROR(IF(AND(E138&lt;&gt;"",F138&lt;&gt;""),E138-F138,IF(E138&lt;&gt;"",E138,IF(F138&lt;&gt;"",-F138,""))),"")</f>
        <v/>
      </c>
      <c r="H138" s="40" t="inlineStr"/>
      <c r="I138" s="40" t="inlineStr"/>
    </row>
    <row r="139" ht="22" customHeight="1">
      <c r="A139" s="43" t="n">
        <v>46158</v>
      </c>
      <c r="B139" s="44" t="inlineStr">
        <is>
          <t>Saturday</t>
        </is>
      </c>
      <c r="C139" s="44" t="inlineStr"/>
      <c r="D139" s="44" t="inlineStr"/>
      <c r="E139" s="65" t="inlineStr"/>
      <c r="F139" s="65" t="inlineStr"/>
      <c r="G139" s="65">
        <f>IFERROR(IF(AND(E139&lt;&gt;"",F139&lt;&gt;""),E139-F139,IF(E139&lt;&gt;"",E139,IF(F139&lt;&gt;"",-F139,""))),"")</f>
        <v/>
      </c>
      <c r="H139" s="44" t="inlineStr"/>
      <c r="I139" s="44" t="inlineStr"/>
    </row>
    <row r="140" ht="22" customHeight="1">
      <c r="A140" s="39" t="n">
        <v>46159</v>
      </c>
      <c r="B140" s="40" t="inlineStr">
        <is>
          <t>Sunday</t>
        </is>
      </c>
      <c r="C140" s="40" t="inlineStr"/>
      <c r="D140" s="40" t="inlineStr"/>
      <c r="E140" s="64" t="inlineStr"/>
      <c r="F140" s="64" t="inlineStr"/>
      <c r="G140" s="64">
        <f>IFERROR(IF(AND(E140&lt;&gt;"",F140&lt;&gt;""),E140-F140,IF(E140&lt;&gt;"",E140,IF(F140&lt;&gt;"",-F140,""))),"")</f>
        <v/>
      </c>
      <c r="H140" s="40" t="inlineStr"/>
      <c r="I140" s="40" t="inlineStr"/>
    </row>
    <row r="141" ht="22" customHeight="1">
      <c r="A141" s="43" t="n">
        <v>46160</v>
      </c>
      <c r="B141" s="44" t="inlineStr">
        <is>
          <t>Monday</t>
        </is>
      </c>
      <c r="C141" s="44" t="inlineStr"/>
      <c r="D141" s="44" t="inlineStr"/>
      <c r="E141" s="65" t="inlineStr"/>
      <c r="F141" s="65" t="inlineStr"/>
      <c r="G141" s="65">
        <f>IFERROR(IF(AND(E141&lt;&gt;"",F141&lt;&gt;""),E141-F141,IF(E141&lt;&gt;"",E141,IF(F141&lt;&gt;"",-F141,""))),"")</f>
        <v/>
      </c>
      <c r="H141" s="44" t="inlineStr"/>
      <c r="I141" s="44" t="inlineStr"/>
    </row>
    <row r="142" ht="22" customHeight="1">
      <c r="A142" s="39" t="n">
        <v>46161</v>
      </c>
      <c r="B142" s="40" t="inlineStr">
        <is>
          <t>Tuesday</t>
        </is>
      </c>
      <c r="C142" s="40" t="inlineStr"/>
      <c r="D142" s="40" t="inlineStr"/>
      <c r="E142" s="64" t="inlineStr"/>
      <c r="F142" s="64" t="inlineStr"/>
      <c r="G142" s="64">
        <f>IFERROR(IF(AND(E142&lt;&gt;"",F142&lt;&gt;""),E142-F142,IF(E142&lt;&gt;"",E142,IF(F142&lt;&gt;"",-F142,""))),"")</f>
        <v/>
      </c>
      <c r="H142" s="40" t="inlineStr"/>
      <c r="I142" s="40" t="inlineStr"/>
    </row>
    <row r="143" ht="22" customHeight="1">
      <c r="A143" s="43" t="n">
        <v>46162</v>
      </c>
      <c r="B143" s="44" t="inlineStr">
        <is>
          <t>Wednesday</t>
        </is>
      </c>
      <c r="C143" s="44" t="inlineStr"/>
      <c r="D143" s="44" t="inlineStr"/>
      <c r="E143" s="65" t="inlineStr"/>
      <c r="F143" s="65" t="inlineStr"/>
      <c r="G143" s="65">
        <f>IFERROR(IF(AND(E143&lt;&gt;"",F143&lt;&gt;""),E143-F143,IF(E143&lt;&gt;"",E143,IF(F143&lt;&gt;"",-F143,""))),"")</f>
        <v/>
      </c>
      <c r="H143" s="44" t="inlineStr"/>
      <c r="I143" s="44" t="inlineStr"/>
    </row>
    <row r="144" ht="22" customHeight="1">
      <c r="A144" s="39" t="n">
        <v>46163</v>
      </c>
      <c r="B144" s="40" t="inlineStr">
        <is>
          <t>Thursday</t>
        </is>
      </c>
      <c r="C144" s="40" t="inlineStr"/>
      <c r="D144" s="40" t="inlineStr"/>
      <c r="E144" s="64" t="inlineStr"/>
      <c r="F144" s="64" t="inlineStr"/>
      <c r="G144" s="64">
        <f>IFERROR(IF(AND(E144&lt;&gt;"",F144&lt;&gt;""),E144-F144,IF(E144&lt;&gt;"",E144,IF(F144&lt;&gt;"",-F144,""))),"")</f>
        <v/>
      </c>
      <c r="H144" s="40" t="inlineStr"/>
      <c r="I144" s="40" t="inlineStr"/>
    </row>
    <row r="145" ht="22" customHeight="1">
      <c r="A145" s="43" t="n">
        <v>46164</v>
      </c>
      <c r="B145" s="44" t="inlineStr">
        <is>
          <t>Friday</t>
        </is>
      </c>
      <c r="C145" s="44" t="inlineStr"/>
      <c r="D145" s="44" t="inlineStr"/>
      <c r="E145" s="65" t="inlineStr"/>
      <c r="F145" s="65" t="inlineStr"/>
      <c r="G145" s="65">
        <f>IFERROR(IF(AND(E145&lt;&gt;"",F145&lt;&gt;""),E145-F145,IF(E145&lt;&gt;"",E145,IF(F145&lt;&gt;"",-F145,""))),"")</f>
        <v/>
      </c>
      <c r="H145" s="44" t="inlineStr"/>
      <c r="I145" s="44" t="inlineStr"/>
    </row>
    <row r="146" ht="22" customHeight="1">
      <c r="A146" s="39" t="n">
        <v>46165</v>
      </c>
      <c r="B146" s="40" t="inlineStr">
        <is>
          <t>Saturday</t>
        </is>
      </c>
      <c r="C146" s="40" t="inlineStr"/>
      <c r="D146" s="40" t="inlineStr"/>
      <c r="E146" s="64" t="inlineStr"/>
      <c r="F146" s="64" t="inlineStr"/>
      <c r="G146" s="64">
        <f>IFERROR(IF(AND(E146&lt;&gt;"",F146&lt;&gt;""),E146-F146,IF(E146&lt;&gt;"",E146,IF(F146&lt;&gt;"",-F146,""))),"")</f>
        <v/>
      </c>
      <c r="H146" s="40" t="inlineStr"/>
      <c r="I146" s="40" t="inlineStr"/>
    </row>
    <row r="147" ht="22" customHeight="1">
      <c r="A147" s="43" t="n">
        <v>46166</v>
      </c>
      <c r="B147" s="44" t="inlineStr">
        <is>
          <t>Sunday</t>
        </is>
      </c>
      <c r="C147" s="44" t="inlineStr"/>
      <c r="D147" s="44" t="inlineStr"/>
      <c r="E147" s="65" t="inlineStr"/>
      <c r="F147" s="65" t="inlineStr"/>
      <c r="G147" s="65">
        <f>IFERROR(IF(AND(E147&lt;&gt;"",F147&lt;&gt;""),E147-F147,IF(E147&lt;&gt;"",E147,IF(F147&lt;&gt;"",-F147,""))),"")</f>
        <v/>
      </c>
      <c r="H147" s="44" t="inlineStr"/>
      <c r="I147" s="44" t="inlineStr"/>
    </row>
    <row r="148" ht="22" customHeight="1">
      <c r="A148" s="39" t="n">
        <v>46167</v>
      </c>
      <c r="B148" s="40" t="inlineStr">
        <is>
          <t>Monday</t>
        </is>
      </c>
      <c r="C148" s="40" t="inlineStr"/>
      <c r="D148" s="40" t="inlineStr"/>
      <c r="E148" s="64" t="inlineStr"/>
      <c r="F148" s="64" t="inlineStr"/>
      <c r="G148" s="64">
        <f>IFERROR(IF(AND(E148&lt;&gt;"",F148&lt;&gt;""),E148-F148,IF(E148&lt;&gt;"",E148,IF(F148&lt;&gt;"",-F148,""))),"")</f>
        <v/>
      </c>
      <c r="H148" s="40" t="inlineStr"/>
      <c r="I148" s="40" t="inlineStr"/>
    </row>
    <row r="149" ht="22" customHeight="1">
      <c r="A149" s="43" t="n">
        <v>46168</v>
      </c>
      <c r="B149" s="44" t="inlineStr">
        <is>
          <t>Tuesday</t>
        </is>
      </c>
      <c r="C149" s="44" t="inlineStr"/>
      <c r="D149" s="44" t="inlineStr"/>
      <c r="E149" s="65" t="inlineStr"/>
      <c r="F149" s="65" t="inlineStr"/>
      <c r="G149" s="65">
        <f>IFERROR(IF(AND(E149&lt;&gt;"",F149&lt;&gt;""),E149-F149,IF(E149&lt;&gt;"",E149,IF(F149&lt;&gt;"",-F149,""))),"")</f>
        <v/>
      </c>
      <c r="H149" s="44" t="inlineStr"/>
      <c r="I149" s="44" t="inlineStr"/>
    </row>
    <row r="150" ht="22" customHeight="1">
      <c r="A150" s="39" t="n">
        <v>46169</v>
      </c>
      <c r="B150" s="40" t="inlineStr">
        <is>
          <t>Wednesday</t>
        </is>
      </c>
      <c r="C150" s="40" t="inlineStr"/>
      <c r="D150" s="40" t="inlineStr"/>
      <c r="E150" s="64" t="inlineStr"/>
      <c r="F150" s="64" t="inlineStr"/>
      <c r="G150" s="64">
        <f>IFERROR(IF(AND(E150&lt;&gt;"",F150&lt;&gt;""),E150-F150,IF(E150&lt;&gt;"",E150,IF(F150&lt;&gt;"",-F150,""))),"")</f>
        <v/>
      </c>
      <c r="H150" s="40" t="inlineStr"/>
      <c r="I150" s="40" t="inlineStr"/>
    </row>
    <row r="151" ht="22" customHeight="1">
      <c r="A151" s="43" t="n">
        <v>46170</v>
      </c>
      <c r="B151" s="44" t="inlineStr">
        <is>
          <t>Thursday</t>
        </is>
      </c>
      <c r="C151" s="44" t="inlineStr"/>
      <c r="D151" s="44" t="inlineStr"/>
      <c r="E151" s="65" t="inlineStr"/>
      <c r="F151" s="65" t="inlineStr"/>
      <c r="G151" s="65">
        <f>IFERROR(IF(AND(E151&lt;&gt;"",F151&lt;&gt;""),E151-F151,IF(E151&lt;&gt;"",E151,IF(F151&lt;&gt;"",-F151,""))),"")</f>
        <v/>
      </c>
      <c r="H151" s="44" t="inlineStr"/>
      <c r="I151" s="44" t="inlineStr"/>
    </row>
    <row r="152" ht="22" customHeight="1">
      <c r="A152" s="39" t="n">
        <v>46171</v>
      </c>
      <c r="B152" s="40" t="inlineStr">
        <is>
          <t>Friday</t>
        </is>
      </c>
      <c r="C152" s="40" t="inlineStr"/>
      <c r="D152" s="40" t="inlineStr"/>
      <c r="E152" s="64" t="inlineStr"/>
      <c r="F152" s="64" t="inlineStr"/>
      <c r="G152" s="64">
        <f>IFERROR(IF(AND(E152&lt;&gt;"",F152&lt;&gt;""),E152-F152,IF(E152&lt;&gt;"",E152,IF(F152&lt;&gt;"",-F152,""))),"")</f>
        <v/>
      </c>
      <c r="H152" s="40" t="inlineStr"/>
      <c r="I152" s="40" t="inlineStr"/>
    </row>
    <row r="153" ht="22" customHeight="1">
      <c r="A153" s="43" t="n">
        <v>46172</v>
      </c>
      <c r="B153" s="44" t="inlineStr">
        <is>
          <t>Saturday</t>
        </is>
      </c>
      <c r="C153" s="44" t="inlineStr"/>
      <c r="D153" s="44" t="inlineStr"/>
      <c r="E153" s="65" t="inlineStr"/>
      <c r="F153" s="65" t="inlineStr"/>
      <c r="G153" s="65">
        <f>IFERROR(IF(AND(E153&lt;&gt;"",F153&lt;&gt;""),E153-F153,IF(E153&lt;&gt;"",E153,IF(F153&lt;&gt;"",-F153,""))),"")</f>
        <v/>
      </c>
      <c r="H153" s="44" t="inlineStr"/>
      <c r="I153" s="44" t="inlineStr"/>
    </row>
    <row r="154" ht="22" customHeight="1">
      <c r="A154" s="39" t="n">
        <v>46173</v>
      </c>
      <c r="B154" s="40" t="inlineStr">
        <is>
          <t>Sunday</t>
        </is>
      </c>
      <c r="C154" s="40" t="inlineStr"/>
      <c r="D154" s="40" t="inlineStr"/>
      <c r="E154" s="64" t="inlineStr"/>
      <c r="F154" s="64" t="inlineStr"/>
      <c r="G154" s="64">
        <f>IFERROR(IF(AND(E154&lt;&gt;"",F154&lt;&gt;""),E154-F154,IF(E154&lt;&gt;"",E154,IF(F154&lt;&gt;"",-F154,""))),"")</f>
        <v/>
      </c>
      <c r="H154" s="40" t="inlineStr"/>
      <c r="I154" s="40" t="inlineStr"/>
    </row>
    <row r="155" ht="22" customHeight="1">
      <c r="A155" s="43" t="n">
        <v>46174</v>
      </c>
      <c r="B155" s="44" t="inlineStr">
        <is>
          <t>Monday</t>
        </is>
      </c>
      <c r="C155" s="44" t="inlineStr"/>
      <c r="D155" s="44" t="inlineStr"/>
      <c r="E155" s="65" t="inlineStr"/>
      <c r="F155" s="65" t="inlineStr"/>
      <c r="G155" s="65">
        <f>IFERROR(IF(AND(E155&lt;&gt;"",F155&lt;&gt;""),E155-F155,IF(E155&lt;&gt;"",E155,IF(F155&lt;&gt;"",-F155,""))),"")</f>
        <v/>
      </c>
      <c r="H155" s="44" t="inlineStr"/>
      <c r="I155" s="44" t="inlineStr"/>
    </row>
    <row r="156" ht="22" customHeight="1">
      <c r="A156" s="39" t="n">
        <v>46175</v>
      </c>
      <c r="B156" s="40" t="inlineStr">
        <is>
          <t>Tuesday</t>
        </is>
      </c>
      <c r="C156" s="40" t="inlineStr"/>
      <c r="D156" s="40" t="inlineStr"/>
      <c r="E156" s="64" t="inlineStr"/>
      <c r="F156" s="64" t="inlineStr"/>
      <c r="G156" s="64">
        <f>IFERROR(IF(AND(E156&lt;&gt;"",F156&lt;&gt;""),E156-F156,IF(E156&lt;&gt;"",E156,IF(F156&lt;&gt;"",-F156,""))),"")</f>
        <v/>
      </c>
      <c r="H156" s="40" t="inlineStr"/>
      <c r="I156" s="40" t="inlineStr"/>
    </row>
    <row r="157" ht="22" customHeight="1">
      <c r="A157" s="43" t="n">
        <v>46176</v>
      </c>
      <c r="B157" s="44" t="inlineStr">
        <is>
          <t>Wednesday</t>
        </is>
      </c>
      <c r="C157" s="44" t="inlineStr"/>
      <c r="D157" s="44" t="inlineStr"/>
      <c r="E157" s="65" t="inlineStr"/>
      <c r="F157" s="65" t="inlineStr"/>
      <c r="G157" s="65">
        <f>IFERROR(IF(AND(E157&lt;&gt;"",F157&lt;&gt;""),E157-F157,IF(E157&lt;&gt;"",E157,IF(F157&lt;&gt;"",-F157,""))),"")</f>
        <v/>
      </c>
      <c r="H157" s="44" t="inlineStr"/>
      <c r="I157" s="44" t="inlineStr"/>
    </row>
    <row r="158" ht="22" customHeight="1">
      <c r="A158" s="39" t="n">
        <v>46177</v>
      </c>
      <c r="B158" s="40" t="inlineStr">
        <is>
          <t>Thursday</t>
        </is>
      </c>
      <c r="C158" s="40" t="inlineStr"/>
      <c r="D158" s="40" t="inlineStr"/>
      <c r="E158" s="64" t="inlineStr"/>
      <c r="F158" s="64" t="inlineStr"/>
      <c r="G158" s="64">
        <f>IFERROR(IF(AND(E158&lt;&gt;"",F158&lt;&gt;""),E158-F158,IF(E158&lt;&gt;"",E158,IF(F158&lt;&gt;"",-F158,""))),"")</f>
        <v/>
      </c>
      <c r="H158" s="40" t="inlineStr"/>
      <c r="I158" s="40" t="inlineStr"/>
    </row>
    <row r="159" ht="22" customHeight="1">
      <c r="A159" s="43" t="n">
        <v>46178</v>
      </c>
      <c r="B159" s="44" t="inlineStr">
        <is>
          <t>Friday</t>
        </is>
      </c>
      <c r="C159" s="44" t="inlineStr"/>
      <c r="D159" s="44" t="inlineStr"/>
      <c r="E159" s="65" t="inlineStr"/>
      <c r="F159" s="65" t="inlineStr"/>
      <c r="G159" s="65">
        <f>IFERROR(IF(AND(E159&lt;&gt;"",F159&lt;&gt;""),E159-F159,IF(E159&lt;&gt;"",E159,IF(F159&lt;&gt;"",-F159,""))),"")</f>
        <v/>
      </c>
      <c r="H159" s="44" t="inlineStr"/>
      <c r="I159" s="44" t="inlineStr"/>
    </row>
    <row r="160" ht="22" customHeight="1">
      <c r="A160" s="39" t="n">
        <v>46179</v>
      </c>
      <c r="B160" s="40" t="inlineStr">
        <is>
          <t>Saturday</t>
        </is>
      </c>
      <c r="C160" s="40" t="inlineStr"/>
      <c r="D160" s="40" t="inlineStr"/>
      <c r="E160" s="64" t="inlineStr"/>
      <c r="F160" s="64" t="inlineStr"/>
      <c r="G160" s="64">
        <f>IFERROR(IF(AND(E160&lt;&gt;"",F160&lt;&gt;""),E160-F160,IF(E160&lt;&gt;"",E160,IF(F160&lt;&gt;"",-F160,""))),"")</f>
        <v/>
      </c>
      <c r="H160" s="40" t="inlineStr"/>
      <c r="I160" s="40" t="inlineStr"/>
    </row>
    <row r="161" ht="22" customHeight="1">
      <c r="A161" s="43" t="n">
        <v>46180</v>
      </c>
      <c r="B161" s="44" t="inlineStr">
        <is>
          <t>Sunday</t>
        </is>
      </c>
      <c r="C161" s="44" t="inlineStr"/>
      <c r="D161" s="44" t="inlineStr"/>
      <c r="E161" s="65" t="inlineStr"/>
      <c r="F161" s="65" t="inlineStr"/>
      <c r="G161" s="65">
        <f>IFERROR(IF(AND(E161&lt;&gt;"",F161&lt;&gt;""),E161-F161,IF(E161&lt;&gt;"",E161,IF(F161&lt;&gt;"",-F161,""))),"")</f>
        <v/>
      </c>
      <c r="H161" s="44" t="inlineStr"/>
      <c r="I161" s="44" t="inlineStr"/>
    </row>
    <row r="162" ht="22" customHeight="1">
      <c r="A162" s="39" t="n">
        <v>46181</v>
      </c>
      <c r="B162" s="40" t="inlineStr">
        <is>
          <t>Monday</t>
        </is>
      </c>
      <c r="C162" s="40" t="inlineStr"/>
      <c r="D162" s="40" t="inlineStr"/>
      <c r="E162" s="64" t="inlineStr"/>
      <c r="F162" s="64" t="inlineStr"/>
      <c r="G162" s="64">
        <f>IFERROR(IF(AND(E162&lt;&gt;"",F162&lt;&gt;""),E162-F162,IF(E162&lt;&gt;"",E162,IF(F162&lt;&gt;"",-F162,""))),"")</f>
        <v/>
      </c>
      <c r="H162" s="40" t="inlineStr"/>
      <c r="I162" s="40" t="inlineStr"/>
    </row>
    <row r="163" ht="22" customHeight="1">
      <c r="A163" s="43" t="n">
        <v>46182</v>
      </c>
      <c r="B163" s="44" t="inlineStr">
        <is>
          <t>Tuesday</t>
        </is>
      </c>
      <c r="C163" s="44" t="inlineStr"/>
      <c r="D163" s="44" t="inlineStr"/>
      <c r="E163" s="65" t="inlineStr"/>
      <c r="F163" s="65" t="inlineStr"/>
      <c r="G163" s="65">
        <f>IFERROR(IF(AND(E163&lt;&gt;"",F163&lt;&gt;""),E163-F163,IF(E163&lt;&gt;"",E163,IF(F163&lt;&gt;"",-F163,""))),"")</f>
        <v/>
      </c>
      <c r="H163" s="44" t="inlineStr"/>
      <c r="I163" s="44" t="inlineStr"/>
    </row>
    <row r="164" ht="22" customHeight="1">
      <c r="A164" s="39" t="n">
        <v>46183</v>
      </c>
      <c r="B164" s="40" t="inlineStr">
        <is>
          <t>Wednesday</t>
        </is>
      </c>
      <c r="C164" s="40" t="inlineStr"/>
      <c r="D164" s="40" t="inlineStr"/>
      <c r="E164" s="64" t="inlineStr"/>
      <c r="F164" s="64" t="inlineStr"/>
      <c r="G164" s="64">
        <f>IFERROR(IF(AND(E164&lt;&gt;"",F164&lt;&gt;""),E164-F164,IF(E164&lt;&gt;"",E164,IF(F164&lt;&gt;"",-F164,""))),"")</f>
        <v/>
      </c>
      <c r="H164" s="40" t="inlineStr"/>
      <c r="I164" s="40" t="inlineStr"/>
    </row>
    <row r="165" ht="22" customHeight="1">
      <c r="A165" s="43" t="n">
        <v>46184</v>
      </c>
      <c r="B165" s="44" t="inlineStr">
        <is>
          <t>Thursday</t>
        </is>
      </c>
      <c r="C165" s="44" t="inlineStr"/>
      <c r="D165" s="44" t="inlineStr"/>
      <c r="E165" s="65" t="inlineStr"/>
      <c r="F165" s="65" t="inlineStr"/>
      <c r="G165" s="65">
        <f>IFERROR(IF(AND(E165&lt;&gt;"",F165&lt;&gt;""),E165-F165,IF(E165&lt;&gt;"",E165,IF(F165&lt;&gt;"",-F165,""))),"")</f>
        <v/>
      </c>
      <c r="H165" s="44" t="inlineStr"/>
      <c r="I165" s="44" t="inlineStr"/>
    </row>
    <row r="166" ht="22" customHeight="1">
      <c r="A166" s="39" t="n">
        <v>46185</v>
      </c>
      <c r="B166" s="40" t="inlineStr">
        <is>
          <t>Friday</t>
        </is>
      </c>
      <c r="C166" s="40" t="inlineStr"/>
      <c r="D166" s="40" t="inlineStr"/>
      <c r="E166" s="64" t="inlineStr"/>
      <c r="F166" s="64" t="inlineStr"/>
      <c r="G166" s="64">
        <f>IFERROR(IF(AND(E166&lt;&gt;"",F166&lt;&gt;""),E166-F166,IF(E166&lt;&gt;"",E166,IF(F166&lt;&gt;"",-F166,""))),"")</f>
        <v/>
      </c>
      <c r="H166" s="40" t="inlineStr"/>
      <c r="I166" s="40" t="inlineStr"/>
    </row>
    <row r="167" ht="22" customHeight="1">
      <c r="A167" s="43" t="n">
        <v>46186</v>
      </c>
      <c r="B167" s="44" t="inlineStr">
        <is>
          <t>Saturday</t>
        </is>
      </c>
      <c r="C167" s="44" t="inlineStr"/>
      <c r="D167" s="44" t="inlineStr"/>
      <c r="E167" s="65" t="inlineStr"/>
      <c r="F167" s="65" t="inlineStr"/>
      <c r="G167" s="65">
        <f>IFERROR(IF(AND(E167&lt;&gt;"",F167&lt;&gt;""),E167-F167,IF(E167&lt;&gt;"",E167,IF(F167&lt;&gt;"",-F167,""))),"")</f>
        <v/>
      </c>
      <c r="H167" s="44" t="inlineStr"/>
      <c r="I167" s="44" t="inlineStr"/>
    </row>
    <row r="168" ht="22" customHeight="1">
      <c r="A168" s="39" t="n">
        <v>46187</v>
      </c>
      <c r="B168" s="40" t="inlineStr">
        <is>
          <t>Sunday</t>
        </is>
      </c>
      <c r="C168" s="40" t="inlineStr"/>
      <c r="D168" s="40" t="inlineStr"/>
      <c r="E168" s="64" t="inlineStr"/>
      <c r="F168" s="64" t="inlineStr"/>
      <c r="G168" s="64">
        <f>IFERROR(IF(AND(E168&lt;&gt;"",F168&lt;&gt;""),E168-F168,IF(E168&lt;&gt;"",E168,IF(F168&lt;&gt;"",-F168,""))),"")</f>
        <v/>
      </c>
      <c r="H168" s="40" t="inlineStr"/>
      <c r="I168" s="40" t="inlineStr"/>
    </row>
    <row r="169" ht="22" customHeight="1">
      <c r="A169" s="43" t="n">
        <v>46188</v>
      </c>
      <c r="B169" s="44" t="inlineStr">
        <is>
          <t>Monday</t>
        </is>
      </c>
      <c r="C169" s="44" t="inlineStr"/>
      <c r="D169" s="44" t="inlineStr"/>
      <c r="E169" s="65" t="inlineStr"/>
      <c r="F169" s="65" t="inlineStr"/>
      <c r="G169" s="65">
        <f>IFERROR(IF(AND(E169&lt;&gt;"",F169&lt;&gt;""),E169-F169,IF(E169&lt;&gt;"",E169,IF(F169&lt;&gt;"",-F169,""))),"")</f>
        <v/>
      </c>
      <c r="H169" s="44" t="inlineStr"/>
      <c r="I169" s="44" t="inlineStr"/>
    </row>
    <row r="170" ht="22" customHeight="1">
      <c r="A170" s="39" t="n">
        <v>46189</v>
      </c>
      <c r="B170" s="40" t="inlineStr">
        <is>
          <t>Tuesday</t>
        </is>
      </c>
      <c r="C170" s="40" t="inlineStr"/>
      <c r="D170" s="40" t="inlineStr"/>
      <c r="E170" s="64" t="inlineStr"/>
      <c r="F170" s="64" t="inlineStr"/>
      <c r="G170" s="64">
        <f>IFERROR(IF(AND(E170&lt;&gt;"",F170&lt;&gt;""),E170-F170,IF(E170&lt;&gt;"",E170,IF(F170&lt;&gt;"",-F170,""))),"")</f>
        <v/>
      </c>
      <c r="H170" s="40" t="inlineStr"/>
      <c r="I170" s="40" t="inlineStr"/>
    </row>
    <row r="171" ht="22" customHeight="1">
      <c r="A171" s="43" t="n">
        <v>46190</v>
      </c>
      <c r="B171" s="44" t="inlineStr">
        <is>
          <t>Wednesday</t>
        </is>
      </c>
      <c r="C171" s="44" t="inlineStr"/>
      <c r="D171" s="44" t="inlineStr"/>
      <c r="E171" s="65" t="inlineStr"/>
      <c r="F171" s="65" t="inlineStr"/>
      <c r="G171" s="65">
        <f>IFERROR(IF(AND(E171&lt;&gt;"",F171&lt;&gt;""),E171-F171,IF(E171&lt;&gt;"",E171,IF(F171&lt;&gt;"",-F171,""))),"")</f>
        <v/>
      </c>
      <c r="H171" s="44" t="inlineStr"/>
      <c r="I171" s="44" t="inlineStr"/>
    </row>
    <row r="172" ht="22" customHeight="1">
      <c r="A172" s="39" t="n">
        <v>46191</v>
      </c>
      <c r="B172" s="40" t="inlineStr">
        <is>
          <t>Thursday</t>
        </is>
      </c>
      <c r="C172" s="40" t="inlineStr"/>
      <c r="D172" s="40" t="inlineStr"/>
      <c r="E172" s="64" t="inlineStr"/>
      <c r="F172" s="64" t="inlineStr"/>
      <c r="G172" s="64">
        <f>IFERROR(IF(AND(E172&lt;&gt;"",F172&lt;&gt;""),E172-F172,IF(E172&lt;&gt;"",E172,IF(F172&lt;&gt;"",-F172,""))),"")</f>
        <v/>
      </c>
      <c r="H172" s="40" t="inlineStr"/>
      <c r="I172" s="40" t="inlineStr"/>
    </row>
    <row r="173" ht="22" customHeight="1">
      <c r="A173" s="43" t="n">
        <v>46192</v>
      </c>
      <c r="B173" s="44" t="inlineStr">
        <is>
          <t>Friday</t>
        </is>
      </c>
      <c r="C173" s="44" t="inlineStr"/>
      <c r="D173" s="44" t="inlineStr"/>
      <c r="E173" s="65" t="inlineStr"/>
      <c r="F173" s="65" t="inlineStr"/>
      <c r="G173" s="65">
        <f>IFERROR(IF(AND(E173&lt;&gt;"",F173&lt;&gt;""),E173-F173,IF(E173&lt;&gt;"",E173,IF(F173&lt;&gt;"",-F173,""))),"")</f>
        <v/>
      </c>
      <c r="H173" s="44" t="inlineStr"/>
      <c r="I173" s="44" t="inlineStr"/>
    </row>
    <row r="174" ht="22" customHeight="1">
      <c r="A174" s="39" t="n">
        <v>46193</v>
      </c>
      <c r="B174" s="40" t="inlineStr">
        <is>
          <t>Saturday</t>
        </is>
      </c>
      <c r="C174" s="40" t="inlineStr"/>
      <c r="D174" s="40" t="inlineStr"/>
      <c r="E174" s="64" t="inlineStr"/>
      <c r="F174" s="64" t="inlineStr"/>
      <c r="G174" s="64">
        <f>IFERROR(IF(AND(E174&lt;&gt;"",F174&lt;&gt;""),E174-F174,IF(E174&lt;&gt;"",E174,IF(F174&lt;&gt;"",-F174,""))),"")</f>
        <v/>
      </c>
      <c r="H174" s="40" t="inlineStr"/>
      <c r="I174" s="40" t="inlineStr"/>
    </row>
    <row r="175" ht="22" customHeight="1">
      <c r="A175" s="43" t="n">
        <v>46194</v>
      </c>
      <c r="B175" s="44" t="inlineStr">
        <is>
          <t>Sunday</t>
        </is>
      </c>
      <c r="C175" s="44" t="inlineStr"/>
      <c r="D175" s="44" t="inlineStr"/>
      <c r="E175" s="65" t="inlineStr"/>
      <c r="F175" s="65" t="inlineStr"/>
      <c r="G175" s="65">
        <f>IFERROR(IF(AND(E175&lt;&gt;"",F175&lt;&gt;""),E175-F175,IF(E175&lt;&gt;"",E175,IF(F175&lt;&gt;"",-F175,""))),"")</f>
        <v/>
      </c>
      <c r="H175" s="44" t="inlineStr"/>
      <c r="I175" s="44" t="inlineStr"/>
    </row>
    <row r="176" ht="22" customHeight="1">
      <c r="A176" s="39" t="n">
        <v>46195</v>
      </c>
      <c r="B176" s="40" t="inlineStr">
        <is>
          <t>Monday</t>
        </is>
      </c>
      <c r="C176" s="40" t="inlineStr"/>
      <c r="D176" s="40" t="inlineStr"/>
      <c r="E176" s="64" t="inlineStr"/>
      <c r="F176" s="64" t="inlineStr"/>
      <c r="G176" s="64">
        <f>IFERROR(IF(AND(E176&lt;&gt;"",F176&lt;&gt;""),E176-F176,IF(E176&lt;&gt;"",E176,IF(F176&lt;&gt;"",-F176,""))),"")</f>
        <v/>
      </c>
      <c r="H176" s="40" t="inlineStr"/>
      <c r="I176" s="40" t="inlineStr"/>
    </row>
    <row r="177" ht="22" customHeight="1">
      <c r="A177" s="43" t="n">
        <v>46196</v>
      </c>
      <c r="B177" s="44" t="inlineStr">
        <is>
          <t>Tuesday</t>
        </is>
      </c>
      <c r="C177" s="44" t="inlineStr"/>
      <c r="D177" s="44" t="inlineStr"/>
      <c r="E177" s="65" t="inlineStr"/>
      <c r="F177" s="65" t="inlineStr"/>
      <c r="G177" s="65">
        <f>IFERROR(IF(AND(E177&lt;&gt;"",F177&lt;&gt;""),E177-F177,IF(E177&lt;&gt;"",E177,IF(F177&lt;&gt;"",-F177,""))),"")</f>
        <v/>
      </c>
      <c r="H177" s="44" t="inlineStr"/>
      <c r="I177" s="44" t="inlineStr"/>
    </row>
    <row r="178" ht="22" customHeight="1">
      <c r="A178" s="39" t="n">
        <v>46197</v>
      </c>
      <c r="B178" s="40" t="inlineStr">
        <is>
          <t>Wednesday</t>
        </is>
      </c>
      <c r="C178" s="40" t="inlineStr"/>
      <c r="D178" s="40" t="inlineStr"/>
      <c r="E178" s="64" t="inlineStr"/>
      <c r="F178" s="64" t="inlineStr"/>
      <c r="G178" s="64">
        <f>IFERROR(IF(AND(E178&lt;&gt;"",F178&lt;&gt;""),E178-F178,IF(E178&lt;&gt;"",E178,IF(F178&lt;&gt;"",-F178,""))),"")</f>
        <v/>
      </c>
      <c r="H178" s="40" t="inlineStr"/>
      <c r="I178" s="40" t="inlineStr"/>
    </row>
    <row r="179" ht="22" customHeight="1">
      <c r="A179" s="43" t="n">
        <v>46198</v>
      </c>
      <c r="B179" s="44" t="inlineStr">
        <is>
          <t>Thursday</t>
        </is>
      </c>
      <c r="C179" s="44" t="inlineStr"/>
      <c r="D179" s="44" t="inlineStr"/>
      <c r="E179" s="65" t="inlineStr"/>
      <c r="F179" s="65" t="inlineStr"/>
      <c r="G179" s="65">
        <f>IFERROR(IF(AND(E179&lt;&gt;"",F179&lt;&gt;""),E179-F179,IF(E179&lt;&gt;"",E179,IF(F179&lt;&gt;"",-F179,""))),"")</f>
        <v/>
      </c>
      <c r="H179" s="44" t="inlineStr"/>
      <c r="I179" s="44" t="inlineStr"/>
    </row>
    <row r="180" ht="22" customHeight="1">
      <c r="A180" s="39" t="n">
        <v>46199</v>
      </c>
      <c r="B180" s="40" t="inlineStr">
        <is>
          <t>Friday</t>
        </is>
      </c>
      <c r="C180" s="40" t="inlineStr"/>
      <c r="D180" s="40" t="inlineStr"/>
      <c r="E180" s="64" t="inlineStr"/>
      <c r="F180" s="64" t="inlineStr"/>
      <c r="G180" s="64">
        <f>IFERROR(IF(AND(E180&lt;&gt;"",F180&lt;&gt;""),E180-F180,IF(E180&lt;&gt;"",E180,IF(F180&lt;&gt;"",-F180,""))),"")</f>
        <v/>
      </c>
      <c r="H180" s="40" t="inlineStr"/>
      <c r="I180" s="40" t="inlineStr"/>
    </row>
    <row r="181" ht="22" customHeight="1">
      <c r="A181" s="43" t="n">
        <v>46200</v>
      </c>
      <c r="B181" s="44" t="inlineStr">
        <is>
          <t>Saturday</t>
        </is>
      </c>
      <c r="C181" s="44" t="inlineStr"/>
      <c r="D181" s="44" t="inlineStr"/>
      <c r="E181" s="65" t="inlineStr"/>
      <c r="F181" s="65" t="inlineStr"/>
      <c r="G181" s="65">
        <f>IFERROR(IF(AND(E181&lt;&gt;"",F181&lt;&gt;""),E181-F181,IF(E181&lt;&gt;"",E181,IF(F181&lt;&gt;"",-F181,""))),"")</f>
        <v/>
      </c>
      <c r="H181" s="44" t="inlineStr"/>
      <c r="I181" s="44" t="inlineStr"/>
    </row>
    <row r="182" ht="22" customHeight="1">
      <c r="A182" s="39" t="n">
        <v>46201</v>
      </c>
      <c r="B182" s="40" t="inlineStr">
        <is>
          <t>Sunday</t>
        </is>
      </c>
      <c r="C182" s="40" t="inlineStr"/>
      <c r="D182" s="40" t="inlineStr"/>
      <c r="E182" s="64" t="inlineStr"/>
      <c r="F182" s="64" t="inlineStr"/>
      <c r="G182" s="64">
        <f>IFERROR(IF(AND(E182&lt;&gt;"",F182&lt;&gt;""),E182-F182,IF(E182&lt;&gt;"",E182,IF(F182&lt;&gt;"",-F182,""))),"")</f>
        <v/>
      </c>
      <c r="H182" s="40" t="inlineStr"/>
      <c r="I182" s="40" t="inlineStr"/>
    </row>
    <row r="183" ht="22" customHeight="1">
      <c r="A183" s="43" t="n">
        <v>46202</v>
      </c>
      <c r="B183" s="44" t="inlineStr">
        <is>
          <t>Monday</t>
        </is>
      </c>
      <c r="C183" s="44" t="inlineStr"/>
      <c r="D183" s="44" t="inlineStr"/>
      <c r="E183" s="65" t="inlineStr"/>
      <c r="F183" s="65" t="inlineStr"/>
      <c r="G183" s="65">
        <f>IFERROR(IF(AND(E183&lt;&gt;"",F183&lt;&gt;""),E183-F183,IF(E183&lt;&gt;"",E183,IF(F183&lt;&gt;"",-F183,""))),"")</f>
        <v/>
      </c>
      <c r="H183" s="44" t="inlineStr"/>
      <c r="I183" s="44" t="inlineStr"/>
    </row>
    <row r="184" ht="22" customHeight="1">
      <c r="A184" s="39" t="n">
        <v>46203</v>
      </c>
      <c r="B184" s="40" t="inlineStr">
        <is>
          <t>Tuesday</t>
        </is>
      </c>
      <c r="C184" s="40" t="inlineStr"/>
      <c r="D184" s="40" t="inlineStr"/>
      <c r="E184" s="64" t="inlineStr"/>
      <c r="F184" s="64" t="inlineStr"/>
      <c r="G184" s="64">
        <f>IFERROR(IF(AND(E184&lt;&gt;"",F184&lt;&gt;""),E184-F184,IF(E184&lt;&gt;"",E184,IF(F184&lt;&gt;"",-F184,""))),"")</f>
        <v/>
      </c>
      <c r="H184" s="40" t="inlineStr"/>
      <c r="I184" s="40" t="inlineStr"/>
    </row>
    <row r="185" ht="22" customHeight="1">
      <c r="A185" s="43" t="n">
        <v>46204</v>
      </c>
      <c r="B185" s="44" t="inlineStr">
        <is>
          <t>Wednesday</t>
        </is>
      </c>
      <c r="C185" s="44" t="inlineStr"/>
      <c r="D185" s="44" t="inlineStr"/>
      <c r="E185" s="65" t="inlineStr"/>
      <c r="F185" s="65" t="inlineStr"/>
      <c r="G185" s="65">
        <f>IFERROR(IF(AND(E185&lt;&gt;"",F185&lt;&gt;""),E185-F185,IF(E185&lt;&gt;"",E185,IF(F185&lt;&gt;"",-F185,""))),"")</f>
        <v/>
      </c>
      <c r="H185" s="44" t="inlineStr"/>
      <c r="I185" s="44" t="inlineStr"/>
    </row>
    <row r="186" ht="22" customHeight="1">
      <c r="A186" s="39" t="n">
        <v>46205</v>
      </c>
      <c r="B186" s="40" t="inlineStr">
        <is>
          <t>Thursday</t>
        </is>
      </c>
      <c r="C186" s="40" t="inlineStr"/>
      <c r="D186" s="40" t="inlineStr"/>
      <c r="E186" s="64" t="inlineStr"/>
      <c r="F186" s="64" t="inlineStr"/>
      <c r="G186" s="64">
        <f>IFERROR(IF(AND(E186&lt;&gt;"",F186&lt;&gt;""),E186-F186,IF(E186&lt;&gt;"",E186,IF(F186&lt;&gt;"",-F186,""))),"")</f>
        <v/>
      </c>
      <c r="H186" s="40" t="inlineStr"/>
      <c r="I186" s="40" t="inlineStr"/>
    </row>
    <row r="187" ht="22" customHeight="1">
      <c r="A187" s="43" t="n">
        <v>46206</v>
      </c>
      <c r="B187" s="44" t="inlineStr">
        <is>
          <t>Friday</t>
        </is>
      </c>
      <c r="C187" s="44" t="inlineStr"/>
      <c r="D187" s="44" t="inlineStr"/>
      <c r="E187" s="65" t="inlineStr"/>
      <c r="F187" s="65" t="inlineStr"/>
      <c r="G187" s="65">
        <f>IFERROR(IF(AND(E187&lt;&gt;"",F187&lt;&gt;""),E187-F187,IF(E187&lt;&gt;"",E187,IF(F187&lt;&gt;"",-F187,""))),"")</f>
        <v/>
      </c>
      <c r="H187" s="44" t="inlineStr"/>
      <c r="I187" s="44" t="inlineStr"/>
    </row>
    <row r="188" ht="22" customHeight="1">
      <c r="A188" s="39" t="n">
        <v>46207</v>
      </c>
      <c r="B188" s="40" t="inlineStr">
        <is>
          <t>Saturday</t>
        </is>
      </c>
      <c r="C188" s="40" t="inlineStr"/>
      <c r="D188" s="40" t="inlineStr"/>
      <c r="E188" s="64" t="inlineStr"/>
      <c r="F188" s="64" t="inlineStr"/>
      <c r="G188" s="64">
        <f>IFERROR(IF(AND(E188&lt;&gt;"",F188&lt;&gt;""),E188-F188,IF(E188&lt;&gt;"",E188,IF(F188&lt;&gt;"",-F188,""))),"")</f>
        <v/>
      </c>
      <c r="H188" s="40" t="inlineStr"/>
      <c r="I188" s="40" t="inlineStr"/>
    </row>
    <row r="189" ht="22" customHeight="1">
      <c r="A189" s="43" t="n">
        <v>46208</v>
      </c>
      <c r="B189" s="44" t="inlineStr">
        <is>
          <t>Sunday</t>
        </is>
      </c>
      <c r="C189" s="44" t="inlineStr"/>
      <c r="D189" s="44" t="inlineStr"/>
      <c r="E189" s="65" t="inlineStr"/>
      <c r="F189" s="65" t="inlineStr"/>
      <c r="G189" s="65">
        <f>IFERROR(IF(AND(E189&lt;&gt;"",F189&lt;&gt;""),E189-F189,IF(E189&lt;&gt;"",E189,IF(F189&lt;&gt;"",-F189,""))),"")</f>
        <v/>
      </c>
      <c r="H189" s="44" t="inlineStr"/>
      <c r="I189" s="44" t="inlineStr"/>
    </row>
    <row r="190" ht="22" customHeight="1">
      <c r="A190" s="39" t="n">
        <v>46209</v>
      </c>
      <c r="B190" s="40" t="inlineStr">
        <is>
          <t>Monday</t>
        </is>
      </c>
      <c r="C190" s="40" t="inlineStr"/>
      <c r="D190" s="40" t="inlineStr"/>
      <c r="E190" s="64" t="inlineStr"/>
      <c r="F190" s="64" t="inlineStr"/>
      <c r="G190" s="64">
        <f>IFERROR(IF(AND(E190&lt;&gt;"",F190&lt;&gt;""),E190-F190,IF(E190&lt;&gt;"",E190,IF(F190&lt;&gt;"",-F190,""))),"")</f>
        <v/>
      </c>
      <c r="H190" s="40" t="inlineStr"/>
      <c r="I190" s="40" t="inlineStr"/>
    </row>
    <row r="191" ht="22" customHeight="1">
      <c r="A191" s="43" t="n">
        <v>46210</v>
      </c>
      <c r="B191" s="44" t="inlineStr">
        <is>
          <t>Tuesday</t>
        </is>
      </c>
      <c r="C191" s="44" t="inlineStr"/>
      <c r="D191" s="44" t="inlineStr"/>
      <c r="E191" s="65" t="inlineStr"/>
      <c r="F191" s="65" t="inlineStr"/>
      <c r="G191" s="65">
        <f>IFERROR(IF(AND(E191&lt;&gt;"",F191&lt;&gt;""),E191-F191,IF(E191&lt;&gt;"",E191,IF(F191&lt;&gt;"",-F191,""))),"")</f>
        <v/>
      </c>
      <c r="H191" s="44" t="inlineStr"/>
      <c r="I191" s="44" t="inlineStr"/>
    </row>
    <row r="192" ht="22" customHeight="1">
      <c r="A192" s="39" t="n">
        <v>46211</v>
      </c>
      <c r="B192" s="40" t="inlineStr">
        <is>
          <t>Wednesday</t>
        </is>
      </c>
      <c r="C192" s="40" t="inlineStr"/>
      <c r="D192" s="40" t="inlineStr"/>
      <c r="E192" s="64" t="inlineStr"/>
      <c r="F192" s="64" t="inlineStr"/>
      <c r="G192" s="64">
        <f>IFERROR(IF(AND(E192&lt;&gt;"",F192&lt;&gt;""),E192-F192,IF(E192&lt;&gt;"",E192,IF(F192&lt;&gt;"",-F192,""))),"")</f>
        <v/>
      </c>
      <c r="H192" s="40" t="inlineStr"/>
      <c r="I192" s="40" t="inlineStr"/>
    </row>
    <row r="193" ht="22" customHeight="1">
      <c r="A193" s="43" t="n">
        <v>46212</v>
      </c>
      <c r="B193" s="44" t="inlineStr">
        <is>
          <t>Thursday</t>
        </is>
      </c>
      <c r="C193" s="44" t="inlineStr"/>
      <c r="D193" s="44" t="inlineStr"/>
      <c r="E193" s="65" t="inlineStr"/>
      <c r="F193" s="65" t="inlineStr"/>
      <c r="G193" s="65">
        <f>IFERROR(IF(AND(E193&lt;&gt;"",F193&lt;&gt;""),E193-F193,IF(E193&lt;&gt;"",E193,IF(F193&lt;&gt;"",-F193,""))),"")</f>
        <v/>
      </c>
      <c r="H193" s="44" t="inlineStr"/>
      <c r="I193" s="44" t="inlineStr"/>
    </row>
    <row r="194" ht="22" customHeight="1">
      <c r="A194" s="39" t="n">
        <v>46213</v>
      </c>
      <c r="B194" s="40" t="inlineStr">
        <is>
          <t>Friday</t>
        </is>
      </c>
      <c r="C194" s="40" t="inlineStr"/>
      <c r="D194" s="40" t="inlineStr"/>
      <c r="E194" s="64" t="inlineStr"/>
      <c r="F194" s="64" t="inlineStr"/>
      <c r="G194" s="64">
        <f>IFERROR(IF(AND(E194&lt;&gt;"",F194&lt;&gt;""),E194-F194,IF(E194&lt;&gt;"",E194,IF(F194&lt;&gt;"",-F194,""))),"")</f>
        <v/>
      </c>
      <c r="H194" s="40" t="inlineStr"/>
      <c r="I194" s="40" t="inlineStr"/>
    </row>
    <row r="195" ht="22" customHeight="1">
      <c r="A195" s="43" t="n">
        <v>46214</v>
      </c>
      <c r="B195" s="44" t="inlineStr">
        <is>
          <t>Saturday</t>
        </is>
      </c>
      <c r="C195" s="44" t="inlineStr"/>
      <c r="D195" s="44" t="inlineStr"/>
      <c r="E195" s="65" t="inlineStr"/>
      <c r="F195" s="65" t="inlineStr"/>
      <c r="G195" s="65">
        <f>IFERROR(IF(AND(E195&lt;&gt;"",F195&lt;&gt;""),E195-F195,IF(E195&lt;&gt;"",E195,IF(F195&lt;&gt;"",-F195,""))),"")</f>
        <v/>
      </c>
      <c r="H195" s="44" t="inlineStr"/>
      <c r="I195" s="44" t="inlineStr"/>
    </row>
    <row r="196" ht="22" customHeight="1">
      <c r="A196" s="39" t="n">
        <v>46215</v>
      </c>
      <c r="B196" s="40" t="inlineStr">
        <is>
          <t>Sunday</t>
        </is>
      </c>
      <c r="C196" s="40" t="inlineStr"/>
      <c r="D196" s="40" t="inlineStr"/>
      <c r="E196" s="64" t="inlineStr"/>
      <c r="F196" s="64" t="inlineStr"/>
      <c r="G196" s="64">
        <f>IFERROR(IF(AND(E196&lt;&gt;"",F196&lt;&gt;""),E196-F196,IF(E196&lt;&gt;"",E196,IF(F196&lt;&gt;"",-F196,""))),"")</f>
        <v/>
      </c>
      <c r="H196" s="40" t="inlineStr"/>
      <c r="I196" s="40" t="inlineStr"/>
    </row>
    <row r="197" ht="22" customHeight="1">
      <c r="A197" s="43" t="n">
        <v>46216</v>
      </c>
      <c r="B197" s="44" t="inlineStr">
        <is>
          <t>Monday</t>
        </is>
      </c>
      <c r="C197" s="44" t="inlineStr"/>
      <c r="D197" s="44" t="inlineStr"/>
      <c r="E197" s="65" t="inlineStr"/>
      <c r="F197" s="65" t="inlineStr"/>
      <c r="G197" s="65">
        <f>IFERROR(IF(AND(E197&lt;&gt;"",F197&lt;&gt;""),E197-F197,IF(E197&lt;&gt;"",E197,IF(F197&lt;&gt;"",-F197,""))),"")</f>
        <v/>
      </c>
      <c r="H197" s="44" t="inlineStr"/>
      <c r="I197" s="44" t="inlineStr"/>
    </row>
    <row r="198" ht="22" customHeight="1">
      <c r="A198" s="39" t="n">
        <v>46217</v>
      </c>
      <c r="B198" s="40" t="inlineStr">
        <is>
          <t>Tuesday</t>
        </is>
      </c>
      <c r="C198" s="40" t="inlineStr"/>
      <c r="D198" s="40" t="inlineStr"/>
      <c r="E198" s="64" t="inlineStr"/>
      <c r="F198" s="64" t="inlineStr"/>
      <c r="G198" s="64">
        <f>IFERROR(IF(AND(E198&lt;&gt;"",F198&lt;&gt;""),E198-F198,IF(E198&lt;&gt;"",E198,IF(F198&lt;&gt;"",-F198,""))),"")</f>
        <v/>
      </c>
      <c r="H198" s="40" t="inlineStr"/>
      <c r="I198" s="40" t="inlineStr"/>
    </row>
    <row r="199" ht="22" customHeight="1">
      <c r="A199" s="43" t="n">
        <v>46218</v>
      </c>
      <c r="B199" s="44" t="inlineStr">
        <is>
          <t>Wednesday</t>
        </is>
      </c>
      <c r="C199" s="44" t="inlineStr"/>
      <c r="D199" s="44" t="inlineStr"/>
      <c r="E199" s="65" t="inlineStr"/>
      <c r="F199" s="65" t="inlineStr"/>
      <c r="G199" s="65">
        <f>IFERROR(IF(AND(E199&lt;&gt;"",F199&lt;&gt;""),E199-F199,IF(E199&lt;&gt;"",E199,IF(F199&lt;&gt;"",-F199,""))),"")</f>
        <v/>
      </c>
      <c r="H199" s="44" t="inlineStr"/>
      <c r="I199" s="44" t="inlineStr"/>
    </row>
    <row r="200" ht="22" customHeight="1">
      <c r="A200" s="39" t="n">
        <v>46219</v>
      </c>
      <c r="B200" s="40" t="inlineStr">
        <is>
          <t>Thursday</t>
        </is>
      </c>
      <c r="C200" s="40" t="inlineStr"/>
      <c r="D200" s="40" t="inlineStr"/>
      <c r="E200" s="64" t="inlineStr"/>
      <c r="F200" s="64" t="inlineStr"/>
      <c r="G200" s="64">
        <f>IFERROR(IF(AND(E200&lt;&gt;"",F200&lt;&gt;""),E200-F200,IF(E200&lt;&gt;"",E200,IF(F200&lt;&gt;"",-F200,""))),"")</f>
        <v/>
      </c>
      <c r="H200" s="40" t="inlineStr"/>
      <c r="I200" s="40" t="inlineStr"/>
    </row>
    <row r="201" ht="22" customHeight="1">
      <c r="A201" s="43" t="n">
        <v>46220</v>
      </c>
      <c r="B201" s="44" t="inlineStr">
        <is>
          <t>Friday</t>
        </is>
      </c>
      <c r="C201" s="44" t="inlineStr"/>
      <c r="D201" s="44" t="inlineStr"/>
      <c r="E201" s="65" t="inlineStr"/>
      <c r="F201" s="65" t="inlineStr"/>
      <c r="G201" s="65">
        <f>IFERROR(IF(AND(E201&lt;&gt;"",F201&lt;&gt;""),E201-F201,IF(E201&lt;&gt;"",E201,IF(F201&lt;&gt;"",-F201,""))),"")</f>
        <v/>
      </c>
      <c r="H201" s="44" t="inlineStr"/>
      <c r="I201" s="44" t="inlineStr"/>
    </row>
    <row r="202" ht="22" customHeight="1">
      <c r="A202" s="39" t="n">
        <v>46221</v>
      </c>
      <c r="B202" s="40" t="inlineStr">
        <is>
          <t>Saturday</t>
        </is>
      </c>
      <c r="C202" s="40" t="inlineStr"/>
      <c r="D202" s="40" t="inlineStr"/>
      <c r="E202" s="64" t="inlineStr"/>
      <c r="F202" s="64" t="inlineStr"/>
      <c r="G202" s="64">
        <f>IFERROR(IF(AND(E202&lt;&gt;"",F202&lt;&gt;""),E202-F202,IF(E202&lt;&gt;"",E202,IF(F202&lt;&gt;"",-F202,""))),"")</f>
        <v/>
      </c>
      <c r="H202" s="40" t="inlineStr"/>
      <c r="I202" s="40" t="inlineStr"/>
    </row>
    <row r="203" ht="22" customHeight="1">
      <c r="A203" s="43" t="n">
        <v>46222</v>
      </c>
      <c r="B203" s="44" t="inlineStr">
        <is>
          <t>Sunday</t>
        </is>
      </c>
      <c r="C203" s="44" t="inlineStr"/>
      <c r="D203" s="44" t="inlineStr"/>
      <c r="E203" s="65" t="inlineStr"/>
      <c r="F203" s="65" t="inlineStr"/>
      <c r="G203" s="65">
        <f>IFERROR(IF(AND(E203&lt;&gt;"",F203&lt;&gt;""),E203-F203,IF(E203&lt;&gt;"",E203,IF(F203&lt;&gt;"",-F203,""))),"")</f>
        <v/>
      </c>
      <c r="H203" s="44" t="inlineStr"/>
      <c r="I203" s="44" t="inlineStr"/>
    </row>
    <row r="204" ht="22" customHeight="1">
      <c r="A204" s="39" t="n">
        <v>46223</v>
      </c>
      <c r="B204" s="40" t="inlineStr">
        <is>
          <t>Monday</t>
        </is>
      </c>
      <c r="C204" s="40" t="inlineStr"/>
      <c r="D204" s="40" t="inlineStr"/>
      <c r="E204" s="64" t="inlineStr"/>
      <c r="F204" s="64" t="inlineStr"/>
      <c r="G204" s="64">
        <f>IFERROR(IF(AND(E204&lt;&gt;"",F204&lt;&gt;""),E204-F204,IF(E204&lt;&gt;"",E204,IF(F204&lt;&gt;"",-F204,""))),"")</f>
        <v/>
      </c>
      <c r="H204" s="40" t="inlineStr"/>
      <c r="I204" s="40" t="inlineStr"/>
    </row>
    <row r="205" ht="22" customHeight="1">
      <c r="A205" s="43" t="n">
        <v>46224</v>
      </c>
      <c r="B205" s="44" t="inlineStr">
        <is>
          <t>Tuesday</t>
        </is>
      </c>
      <c r="C205" s="44" t="inlineStr"/>
      <c r="D205" s="44" t="inlineStr"/>
      <c r="E205" s="65" t="inlineStr"/>
      <c r="F205" s="65" t="inlineStr"/>
      <c r="G205" s="65">
        <f>IFERROR(IF(AND(E205&lt;&gt;"",F205&lt;&gt;""),E205-F205,IF(E205&lt;&gt;"",E205,IF(F205&lt;&gt;"",-F205,""))),"")</f>
        <v/>
      </c>
      <c r="H205" s="44" t="inlineStr"/>
      <c r="I205" s="44" t="inlineStr"/>
    </row>
    <row r="206" ht="22" customHeight="1">
      <c r="A206" s="39" t="n">
        <v>46225</v>
      </c>
      <c r="B206" s="40" t="inlineStr">
        <is>
          <t>Wednesday</t>
        </is>
      </c>
      <c r="C206" s="40" t="inlineStr"/>
      <c r="D206" s="40" t="inlineStr"/>
      <c r="E206" s="64" t="inlineStr"/>
      <c r="F206" s="64" t="inlineStr"/>
      <c r="G206" s="64">
        <f>IFERROR(IF(AND(E206&lt;&gt;"",F206&lt;&gt;""),E206-F206,IF(E206&lt;&gt;"",E206,IF(F206&lt;&gt;"",-F206,""))),"")</f>
        <v/>
      </c>
      <c r="H206" s="40" t="inlineStr"/>
      <c r="I206" s="40" t="inlineStr"/>
    </row>
    <row r="207" ht="22" customHeight="1">
      <c r="A207" s="43" t="n">
        <v>46226</v>
      </c>
      <c r="B207" s="44" t="inlineStr">
        <is>
          <t>Thursday</t>
        </is>
      </c>
      <c r="C207" s="44" t="inlineStr"/>
      <c r="D207" s="44" t="inlineStr"/>
      <c r="E207" s="65" t="inlineStr"/>
      <c r="F207" s="65" t="inlineStr"/>
      <c r="G207" s="65">
        <f>IFERROR(IF(AND(E207&lt;&gt;"",F207&lt;&gt;""),E207-F207,IF(E207&lt;&gt;"",E207,IF(F207&lt;&gt;"",-F207,""))),"")</f>
        <v/>
      </c>
      <c r="H207" s="44" t="inlineStr"/>
      <c r="I207" s="44" t="inlineStr"/>
    </row>
    <row r="208" ht="22" customHeight="1">
      <c r="A208" s="39" t="n">
        <v>46227</v>
      </c>
      <c r="B208" s="40" t="inlineStr">
        <is>
          <t>Friday</t>
        </is>
      </c>
      <c r="C208" s="40" t="inlineStr"/>
      <c r="D208" s="40" t="inlineStr"/>
      <c r="E208" s="64" t="inlineStr"/>
      <c r="F208" s="64" t="inlineStr"/>
      <c r="G208" s="64">
        <f>IFERROR(IF(AND(E208&lt;&gt;"",F208&lt;&gt;""),E208-F208,IF(E208&lt;&gt;"",E208,IF(F208&lt;&gt;"",-F208,""))),"")</f>
        <v/>
      </c>
      <c r="H208" s="40" t="inlineStr"/>
      <c r="I208" s="40" t="inlineStr"/>
    </row>
    <row r="209" ht="22" customHeight="1">
      <c r="A209" s="43" t="n">
        <v>46228</v>
      </c>
      <c r="B209" s="44" t="inlineStr">
        <is>
          <t>Saturday</t>
        </is>
      </c>
      <c r="C209" s="44" t="inlineStr"/>
      <c r="D209" s="44" t="inlineStr"/>
      <c r="E209" s="65" t="inlineStr"/>
      <c r="F209" s="65" t="inlineStr"/>
      <c r="G209" s="65">
        <f>IFERROR(IF(AND(E209&lt;&gt;"",F209&lt;&gt;""),E209-F209,IF(E209&lt;&gt;"",E209,IF(F209&lt;&gt;"",-F209,""))),"")</f>
        <v/>
      </c>
      <c r="H209" s="44" t="inlineStr"/>
      <c r="I209" s="44" t="inlineStr"/>
    </row>
    <row r="210" ht="22" customHeight="1">
      <c r="A210" s="39" t="n">
        <v>46229</v>
      </c>
      <c r="B210" s="40" t="inlineStr">
        <is>
          <t>Sunday</t>
        </is>
      </c>
      <c r="C210" s="40" t="inlineStr"/>
      <c r="D210" s="40" t="inlineStr"/>
      <c r="E210" s="64" t="inlineStr"/>
      <c r="F210" s="64" t="inlineStr"/>
      <c r="G210" s="64">
        <f>IFERROR(IF(AND(E210&lt;&gt;"",F210&lt;&gt;""),E210-F210,IF(E210&lt;&gt;"",E210,IF(F210&lt;&gt;"",-F210,""))),"")</f>
        <v/>
      </c>
      <c r="H210" s="40" t="inlineStr"/>
      <c r="I210" s="40" t="inlineStr"/>
    </row>
    <row r="211" ht="22" customHeight="1">
      <c r="A211" s="43" t="n">
        <v>46230</v>
      </c>
      <c r="B211" s="44" t="inlineStr">
        <is>
          <t>Monday</t>
        </is>
      </c>
      <c r="C211" s="44" t="inlineStr"/>
      <c r="D211" s="44" t="inlineStr"/>
      <c r="E211" s="65" t="inlineStr"/>
      <c r="F211" s="65" t="inlineStr"/>
      <c r="G211" s="65">
        <f>IFERROR(IF(AND(E211&lt;&gt;"",F211&lt;&gt;""),E211-F211,IF(E211&lt;&gt;"",E211,IF(F211&lt;&gt;"",-F211,""))),"")</f>
        <v/>
      </c>
      <c r="H211" s="44" t="inlineStr"/>
      <c r="I211" s="44" t="inlineStr"/>
    </row>
    <row r="212" ht="22" customHeight="1">
      <c r="A212" s="39" t="n">
        <v>46231</v>
      </c>
      <c r="B212" s="40" t="inlineStr">
        <is>
          <t>Tuesday</t>
        </is>
      </c>
      <c r="C212" s="40" t="inlineStr"/>
      <c r="D212" s="40" t="inlineStr"/>
      <c r="E212" s="64" t="inlineStr"/>
      <c r="F212" s="64" t="inlineStr"/>
      <c r="G212" s="64">
        <f>IFERROR(IF(AND(E212&lt;&gt;"",F212&lt;&gt;""),E212-F212,IF(E212&lt;&gt;"",E212,IF(F212&lt;&gt;"",-F212,""))),"")</f>
        <v/>
      </c>
      <c r="H212" s="40" t="inlineStr"/>
      <c r="I212" s="40" t="inlineStr"/>
    </row>
    <row r="213" ht="22" customHeight="1">
      <c r="A213" s="43" t="n">
        <v>46232</v>
      </c>
      <c r="B213" s="44" t="inlineStr">
        <is>
          <t>Wednesday</t>
        </is>
      </c>
      <c r="C213" s="44" t="inlineStr"/>
      <c r="D213" s="44" t="inlineStr"/>
      <c r="E213" s="65" t="inlineStr"/>
      <c r="F213" s="65" t="inlineStr"/>
      <c r="G213" s="65">
        <f>IFERROR(IF(AND(E213&lt;&gt;"",F213&lt;&gt;""),E213-F213,IF(E213&lt;&gt;"",E213,IF(F213&lt;&gt;"",-F213,""))),"")</f>
        <v/>
      </c>
      <c r="H213" s="44" t="inlineStr"/>
      <c r="I213" s="44" t="inlineStr"/>
    </row>
    <row r="214" ht="22" customHeight="1">
      <c r="A214" s="39" t="n">
        <v>46233</v>
      </c>
      <c r="B214" s="40" t="inlineStr">
        <is>
          <t>Thursday</t>
        </is>
      </c>
      <c r="C214" s="40" t="inlineStr"/>
      <c r="D214" s="40" t="inlineStr"/>
      <c r="E214" s="64" t="inlineStr"/>
      <c r="F214" s="64" t="inlineStr"/>
      <c r="G214" s="64">
        <f>IFERROR(IF(AND(E214&lt;&gt;"",F214&lt;&gt;""),E214-F214,IF(E214&lt;&gt;"",E214,IF(F214&lt;&gt;"",-F214,""))),"")</f>
        <v/>
      </c>
      <c r="H214" s="40" t="inlineStr"/>
      <c r="I214" s="40" t="inlineStr"/>
    </row>
    <row r="215" ht="22" customHeight="1">
      <c r="A215" s="43" t="n">
        <v>46234</v>
      </c>
      <c r="B215" s="44" t="inlineStr">
        <is>
          <t>Friday</t>
        </is>
      </c>
      <c r="C215" s="44" t="inlineStr"/>
      <c r="D215" s="44" t="inlineStr"/>
      <c r="E215" s="65" t="inlineStr"/>
      <c r="F215" s="65" t="inlineStr"/>
      <c r="G215" s="65">
        <f>IFERROR(IF(AND(E215&lt;&gt;"",F215&lt;&gt;""),E215-F215,IF(E215&lt;&gt;"",E215,IF(F215&lt;&gt;"",-F215,""))),"")</f>
        <v/>
      </c>
      <c r="H215" s="44" t="inlineStr"/>
      <c r="I215" s="44" t="inlineStr"/>
    </row>
    <row r="216" ht="22" customHeight="1">
      <c r="A216" s="39" t="n">
        <v>46235</v>
      </c>
      <c r="B216" s="40" t="inlineStr">
        <is>
          <t>Saturday</t>
        </is>
      </c>
      <c r="C216" s="40" t="inlineStr"/>
      <c r="D216" s="40" t="inlineStr"/>
      <c r="E216" s="64" t="inlineStr"/>
      <c r="F216" s="64" t="inlineStr"/>
      <c r="G216" s="64">
        <f>IFERROR(IF(AND(E216&lt;&gt;"",F216&lt;&gt;""),E216-F216,IF(E216&lt;&gt;"",E216,IF(F216&lt;&gt;"",-F216,""))),"")</f>
        <v/>
      </c>
      <c r="H216" s="40" t="inlineStr"/>
      <c r="I216" s="40" t="inlineStr"/>
    </row>
    <row r="217" ht="22" customHeight="1">
      <c r="A217" s="43" t="n">
        <v>46236</v>
      </c>
      <c r="B217" s="44" t="inlineStr">
        <is>
          <t>Sunday</t>
        </is>
      </c>
      <c r="C217" s="44" t="inlineStr"/>
      <c r="D217" s="44" t="inlineStr"/>
      <c r="E217" s="65" t="inlineStr"/>
      <c r="F217" s="65" t="inlineStr"/>
      <c r="G217" s="65">
        <f>IFERROR(IF(AND(E217&lt;&gt;"",F217&lt;&gt;""),E217-F217,IF(E217&lt;&gt;"",E217,IF(F217&lt;&gt;"",-F217,""))),"")</f>
        <v/>
      </c>
      <c r="H217" s="44" t="inlineStr"/>
      <c r="I217" s="44" t="inlineStr"/>
    </row>
    <row r="218" ht="22" customHeight="1">
      <c r="A218" s="39" t="n">
        <v>46237</v>
      </c>
      <c r="B218" s="40" t="inlineStr">
        <is>
          <t>Monday</t>
        </is>
      </c>
      <c r="C218" s="40" t="inlineStr"/>
      <c r="D218" s="40" t="inlineStr"/>
      <c r="E218" s="64" t="inlineStr"/>
      <c r="F218" s="64" t="inlineStr"/>
      <c r="G218" s="64">
        <f>IFERROR(IF(AND(E218&lt;&gt;"",F218&lt;&gt;""),E218-F218,IF(E218&lt;&gt;"",E218,IF(F218&lt;&gt;"",-F218,""))),"")</f>
        <v/>
      </c>
      <c r="H218" s="40" t="inlineStr"/>
      <c r="I218" s="40" t="inlineStr"/>
    </row>
    <row r="219" ht="22" customHeight="1">
      <c r="A219" s="43" t="n">
        <v>46238</v>
      </c>
      <c r="B219" s="44" t="inlineStr">
        <is>
          <t>Tuesday</t>
        </is>
      </c>
      <c r="C219" s="44" t="inlineStr"/>
      <c r="D219" s="44" t="inlineStr"/>
      <c r="E219" s="65" t="inlineStr"/>
      <c r="F219" s="65" t="inlineStr"/>
      <c r="G219" s="65">
        <f>IFERROR(IF(AND(E219&lt;&gt;"",F219&lt;&gt;""),E219-F219,IF(E219&lt;&gt;"",E219,IF(F219&lt;&gt;"",-F219,""))),"")</f>
        <v/>
      </c>
      <c r="H219" s="44" t="inlineStr"/>
      <c r="I219" s="44" t="inlineStr"/>
    </row>
    <row r="220" ht="22" customHeight="1">
      <c r="A220" s="39" t="n">
        <v>46239</v>
      </c>
      <c r="B220" s="40" t="inlineStr">
        <is>
          <t>Wednesday</t>
        </is>
      </c>
      <c r="C220" s="40" t="inlineStr"/>
      <c r="D220" s="40" t="inlineStr"/>
      <c r="E220" s="64" t="inlineStr"/>
      <c r="F220" s="64" t="inlineStr"/>
      <c r="G220" s="64">
        <f>IFERROR(IF(AND(E220&lt;&gt;"",F220&lt;&gt;""),E220-F220,IF(E220&lt;&gt;"",E220,IF(F220&lt;&gt;"",-F220,""))),"")</f>
        <v/>
      </c>
      <c r="H220" s="40" t="inlineStr"/>
      <c r="I220" s="40" t="inlineStr"/>
    </row>
    <row r="221" ht="22" customHeight="1">
      <c r="A221" s="43" t="n">
        <v>46240</v>
      </c>
      <c r="B221" s="44" t="inlineStr">
        <is>
          <t>Thursday</t>
        </is>
      </c>
      <c r="C221" s="44" t="inlineStr"/>
      <c r="D221" s="44" t="inlineStr"/>
      <c r="E221" s="65" t="inlineStr"/>
      <c r="F221" s="65" t="inlineStr"/>
      <c r="G221" s="65">
        <f>IFERROR(IF(AND(E221&lt;&gt;"",F221&lt;&gt;""),E221-F221,IF(E221&lt;&gt;"",E221,IF(F221&lt;&gt;"",-F221,""))),"")</f>
        <v/>
      </c>
      <c r="H221" s="44" t="inlineStr"/>
      <c r="I221" s="44" t="inlineStr"/>
    </row>
    <row r="222" ht="22" customHeight="1">
      <c r="A222" s="39" t="n">
        <v>46241</v>
      </c>
      <c r="B222" s="40" t="inlineStr">
        <is>
          <t>Friday</t>
        </is>
      </c>
      <c r="C222" s="40" t="inlineStr"/>
      <c r="D222" s="40" t="inlineStr"/>
      <c r="E222" s="64" t="inlineStr"/>
      <c r="F222" s="64" t="inlineStr"/>
      <c r="G222" s="64">
        <f>IFERROR(IF(AND(E222&lt;&gt;"",F222&lt;&gt;""),E222-F222,IF(E222&lt;&gt;"",E222,IF(F222&lt;&gt;"",-F222,""))),"")</f>
        <v/>
      </c>
      <c r="H222" s="40" t="inlineStr"/>
      <c r="I222" s="40" t="inlineStr"/>
    </row>
    <row r="223" ht="22" customHeight="1">
      <c r="A223" s="43" t="n">
        <v>46242</v>
      </c>
      <c r="B223" s="44" t="inlineStr">
        <is>
          <t>Saturday</t>
        </is>
      </c>
      <c r="C223" s="44" t="inlineStr"/>
      <c r="D223" s="44" t="inlineStr"/>
      <c r="E223" s="65" t="inlineStr"/>
      <c r="F223" s="65" t="inlineStr"/>
      <c r="G223" s="65">
        <f>IFERROR(IF(AND(E223&lt;&gt;"",F223&lt;&gt;""),E223-F223,IF(E223&lt;&gt;"",E223,IF(F223&lt;&gt;"",-F223,""))),"")</f>
        <v/>
      </c>
      <c r="H223" s="44" t="inlineStr"/>
      <c r="I223" s="44" t="inlineStr"/>
    </row>
    <row r="224" ht="22" customHeight="1">
      <c r="A224" s="39" t="n">
        <v>46243</v>
      </c>
      <c r="B224" s="40" t="inlineStr">
        <is>
          <t>Sunday</t>
        </is>
      </c>
      <c r="C224" s="40" t="inlineStr"/>
      <c r="D224" s="40" t="inlineStr"/>
      <c r="E224" s="64" t="inlineStr"/>
      <c r="F224" s="64" t="inlineStr"/>
      <c r="G224" s="64">
        <f>IFERROR(IF(AND(E224&lt;&gt;"",F224&lt;&gt;""),E224-F224,IF(E224&lt;&gt;"",E224,IF(F224&lt;&gt;"",-F224,""))),"")</f>
        <v/>
      </c>
      <c r="H224" s="40" t="inlineStr"/>
      <c r="I224" s="40" t="inlineStr"/>
    </row>
    <row r="225" ht="22" customHeight="1">
      <c r="A225" s="43" t="n">
        <v>46244</v>
      </c>
      <c r="B225" s="44" t="inlineStr">
        <is>
          <t>Monday</t>
        </is>
      </c>
      <c r="C225" s="44" t="inlineStr"/>
      <c r="D225" s="44" t="inlineStr"/>
      <c r="E225" s="65" t="inlineStr"/>
      <c r="F225" s="65" t="inlineStr"/>
      <c r="G225" s="65">
        <f>IFERROR(IF(AND(E225&lt;&gt;"",F225&lt;&gt;""),E225-F225,IF(E225&lt;&gt;"",E225,IF(F225&lt;&gt;"",-F225,""))),"")</f>
        <v/>
      </c>
      <c r="H225" s="44" t="inlineStr"/>
      <c r="I225" s="44" t="inlineStr"/>
    </row>
    <row r="226" ht="22" customHeight="1">
      <c r="A226" s="39" t="n">
        <v>46245</v>
      </c>
      <c r="B226" s="40" t="inlineStr">
        <is>
          <t>Tuesday</t>
        </is>
      </c>
      <c r="C226" s="40" t="inlineStr"/>
      <c r="D226" s="40" t="inlineStr"/>
      <c r="E226" s="64" t="inlineStr"/>
      <c r="F226" s="64" t="inlineStr"/>
      <c r="G226" s="64">
        <f>IFERROR(IF(AND(E226&lt;&gt;"",F226&lt;&gt;""),E226-F226,IF(E226&lt;&gt;"",E226,IF(F226&lt;&gt;"",-F226,""))),"")</f>
        <v/>
      </c>
      <c r="H226" s="40" t="inlineStr"/>
      <c r="I226" s="40" t="inlineStr"/>
    </row>
    <row r="227" ht="22" customHeight="1">
      <c r="A227" s="43" t="n">
        <v>46246</v>
      </c>
      <c r="B227" s="44" t="inlineStr">
        <is>
          <t>Wednesday</t>
        </is>
      </c>
      <c r="C227" s="44" t="inlineStr"/>
      <c r="D227" s="44" t="inlineStr"/>
      <c r="E227" s="65" t="inlineStr"/>
      <c r="F227" s="65" t="inlineStr"/>
      <c r="G227" s="65">
        <f>IFERROR(IF(AND(E227&lt;&gt;"",F227&lt;&gt;""),E227-F227,IF(E227&lt;&gt;"",E227,IF(F227&lt;&gt;"",-F227,""))),"")</f>
        <v/>
      </c>
      <c r="H227" s="44" t="inlineStr"/>
      <c r="I227" s="44" t="inlineStr"/>
    </row>
    <row r="228" ht="22" customHeight="1">
      <c r="A228" s="39" t="n">
        <v>46247</v>
      </c>
      <c r="B228" s="40" t="inlineStr">
        <is>
          <t>Thursday</t>
        </is>
      </c>
      <c r="C228" s="40" t="inlineStr"/>
      <c r="D228" s="40" t="inlineStr"/>
      <c r="E228" s="64" t="inlineStr"/>
      <c r="F228" s="64" t="inlineStr"/>
      <c r="G228" s="64">
        <f>IFERROR(IF(AND(E228&lt;&gt;"",F228&lt;&gt;""),E228-F228,IF(E228&lt;&gt;"",E228,IF(F228&lt;&gt;"",-F228,""))),"")</f>
        <v/>
      </c>
      <c r="H228" s="40" t="inlineStr"/>
      <c r="I228" s="40" t="inlineStr"/>
    </row>
    <row r="229" ht="22" customHeight="1">
      <c r="A229" s="43" t="n">
        <v>46248</v>
      </c>
      <c r="B229" s="44" t="inlineStr">
        <is>
          <t>Friday</t>
        </is>
      </c>
      <c r="C229" s="44" t="inlineStr"/>
      <c r="D229" s="44" t="inlineStr"/>
      <c r="E229" s="65" t="inlineStr"/>
      <c r="F229" s="65" t="inlineStr"/>
      <c r="G229" s="65">
        <f>IFERROR(IF(AND(E229&lt;&gt;"",F229&lt;&gt;""),E229-F229,IF(E229&lt;&gt;"",E229,IF(F229&lt;&gt;"",-F229,""))),"")</f>
        <v/>
      </c>
      <c r="H229" s="44" t="inlineStr"/>
      <c r="I229" s="44" t="inlineStr"/>
    </row>
    <row r="230" ht="22" customHeight="1">
      <c r="A230" s="39" t="n">
        <v>46249</v>
      </c>
      <c r="B230" s="40" t="inlineStr">
        <is>
          <t>Saturday</t>
        </is>
      </c>
      <c r="C230" s="40" t="inlineStr"/>
      <c r="D230" s="40" t="inlineStr"/>
      <c r="E230" s="64" t="inlineStr"/>
      <c r="F230" s="64" t="inlineStr"/>
      <c r="G230" s="64">
        <f>IFERROR(IF(AND(E230&lt;&gt;"",F230&lt;&gt;""),E230-F230,IF(E230&lt;&gt;"",E230,IF(F230&lt;&gt;"",-F230,""))),"")</f>
        <v/>
      </c>
      <c r="H230" s="40" t="inlineStr"/>
      <c r="I230" s="40" t="inlineStr"/>
    </row>
    <row r="231" ht="22" customHeight="1">
      <c r="A231" s="43" t="n">
        <v>46250</v>
      </c>
      <c r="B231" s="44" t="inlineStr">
        <is>
          <t>Sunday</t>
        </is>
      </c>
      <c r="C231" s="44" t="inlineStr"/>
      <c r="D231" s="44" t="inlineStr"/>
      <c r="E231" s="65" t="inlineStr"/>
      <c r="F231" s="65" t="inlineStr"/>
      <c r="G231" s="65">
        <f>IFERROR(IF(AND(E231&lt;&gt;"",F231&lt;&gt;""),E231-F231,IF(E231&lt;&gt;"",E231,IF(F231&lt;&gt;"",-F231,""))),"")</f>
        <v/>
      </c>
      <c r="H231" s="44" t="inlineStr"/>
      <c r="I231" s="44" t="inlineStr"/>
    </row>
    <row r="232" ht="22" customHeight="1">
      <c r="A232" s="39" t="n">
        <v>46251</v>
      </c>
      <c r="B232" s="40" t="inlineStr">
        <is>
          <t>Monday</t>
        </is>
      </c>
      <c r="C232" s="40" t="inlineStr"/>
      <c r="D232" s="40" t="inlineStr"/>
      <c r="E232" s="64" t="inlineStr"/>
      <c r="F232" s="64" t="inlineStr"/>
      <c r="G232" s="64">
        <f>IFERROR(IF(AND(E232&lt;&gt;"",F232&lt;&gt;""),E232-F232,IF(E232&lt;&gt;"",E232,IF(F232&lt;&gt;"",-F232,""))),"")</f>
        <v/>
      </c>
      <c r="H232" s="40" t="inlineStr"/>
      <c r="I232" s="40" t="inlineStr"/>
    </row>
    <row r="233" ht="22" customHeight="1">
      <c r="A233" s="43" t="n">
        <v>46252</v>
      </c>
      <c r="B233" s="44" t="inlineStr">
        <is>
          <t>Tuesday</t>
        </is>
      </c>
      <c r="C233" s="44" t="inlineStr"/>
      <c r="D233" s="44" t="inlineStr"/>
      <c r="E233" s="65" t="inlineStr"/>
      <c r="F233" s="65" t="inlineStr"/>
      <c r="G233" s="65">
        <f>IFERROR(IF(AND(E233&lt;&gt;"",F233&lt;&gt;""),E233-F233,IF(E233&lt;&gt;"",E233,IF(F233&lt;&gt;"",-F233,""))),"")</f>
        <v/>
      </c>
      <c r="H233" s="44" t="inlineStr"/>
      <c r="I233" s="44" t="inlineStr"/>
    </row>
    <row r="234" ht="22" customHeight="1">
      <c r="A234" s="39" t="n">
        <v>46253</v>
      </c>
      <c r="B234" s="40" t="inlineStr">
        <is>
          <t>Wednesday</t>
        </is>
      </c>
      <c r="C234" s="40" t="inlineStr"/>
      <c r="D234" s="40" t="inlineStr"/>
      <c r="E234" s="64" t="inlineStr"/>
      <c r="F234" s="64" t="inlineStr"/>
      <c r="G234" s="64">
        <f>IFERROR(IF(AND(E234&lt;&gt;"",F234&lt;&gt;""),E234-F234,IF(E234&lt;&gt;"",E234,IF(F234&lt;&gt;"",-F234,""))),"")</f>
        <v/>
      </c>
      <c r="H234" s="40" t="inlineStr"/>
      <c r="I234" s="40" t="inlineStr"/>
    </row>
    <row r="235" ht="22" customHeight="1">
      <c r="A235" s="43" t="n">
        <v>46254</v>
      </c>
      <c r="B235" s="44" t="inlineStr">
        <is>
          <t>Thursday</t>
        </is>
      </c>
      <c r="C235" s="44" t="inlineStr"/>
      <c r="D235" s="44" t="inlineStr"/>
      <c r="E235" s="65" t="inlineStr"/>
      <c r="F235" s="65" t="inlineStr"/>
      <c r="G235" s="65">
        <f>IFERROR(IF(AND(E235&lt;&gt;"",F235&lt;&gt;""),E235-F235,IF(E235&lt;&gt;"",E235,IF(F235&lt;&gt;"",-F235,""))),"")</f>
        <v/>
      </c>
      <c r="H235" s="44" t="inlineStr"/>
      <c r="I235" s="44" t="inlineStr"/>
    </row>
    <row r="236" ht="22" customHeight="1">
      <c r="A236" s="39" t="n">
        <v>46255</v>
      </c>
      <c r="B236" s="40" t="inlineStr">
        <is>
          <t>Friday</t>
        </is>
      </c>
      <c r="C236" s="40" t="inlineStr"/>
      <c r="D236" s="40" t="inlineStr"/>
      <c r="E236" s="64" t="inlineStr"/>
      <c r="F236" s="64" t="inlineStr"/>
      <c r="G236" s="64">
        <f>IFERROR(IF(AND(E236&lt;&gt;"",F236&lt;&gt;""),E236-F236,IF(E236&lt;&gt;"",E236,IF(F236&lt;&gt;"",-F236,""))),"")</f>
        <v/>
      </c>
      <c r="H236" s="40" t="inlineStr"/>
      <c r="I236" s="40" t="inlineStr"/>
    </row>
    <row r="237" ht="22" customHeight="1">
      <c r="A237" s="43" t="n">
        <v>46256</v>
      </c>
      <c r="B237" s="44" t="inlineStr">
        <is>
          <t>Saturday</t>
        </is>
      </c>
      <c r="C237" s="44" t="inlineStr"/>
      <c r="D237" s="44" t="inlineStr"/>
      <c r="E237" s="65" t="inlineStr"/>
      <c r="F237" s="65" t="inlineStr"/>
      <c r="G237" s="65">
        <f>IFERROR(IF(AND(E237&lt;&gt;"",F237&lt;&gt;""),E237-F237,IF(E237&lt;&gt;"",E237,IF(F237&lt;&gt;"",-F237,""))),"")</f>
        <v/>
      </c>
      <c r="H237" s="44" t="inlineStr"/>
      <c r="I237" s="44" t="inlineStr"/>
    </row>
    <row r="238" ht="22" customHeight="1">
      <c r="A238" s="39" t="n">
        <v>46257</v>
      </c>
      <c r="B238" s="40" t="inlineStr">
        <is>
          <t>Sunday</t>
        </is>
      </c>
      <c r="C238" s="40" t="inlineStr"/>
      <c r="D238" s="40" t="inlineStr"/>
      <c r="E238" s="64" t="inlineStr"/>
      <c r="F238" s="64" t="inlineStr"/>
      <c r="G238" s="64">
        <f>IFERROR(IF(AND(E238&lt;&gt;"",F238&lt;&gt;""),E238-F238,IF(E238&lt;&gt;"",E238,IF(F238&lt;&gt;"",-F238,""))),"")</f>
        <v/>
      </c>
      <c r="H238" s="40" t="inlineStr"/>
      <c r="I238" s="40" t="inlineStr"/>
    </row>
    <row r="239" ht="22" customHeight="1">
      <c r="A239" s="43" t="n">
        <v>46258</v>
      </c>
      <c r="B239" s="44" t="inlineStr">
        <is>
          <t>Monday</t>
        </is>
      </c>
      <c r="C239" s="44" t="inlineStr"/>
      <c r="D239" s="44" t="inlineStr"/>
      <c r="E239" s="65" t="inlineStr"/>
      <c r="F239" s="65" t="inlineStr"/>
      <c r="G239" s="65">
        <f>IFERROR(IF(AND(E239&lt;&gt;"",F239&lt;&gt;""),E239-F239,IF(E239&lt;&gt;"",E239,IF(F239&lt;&gt;"",-F239,""))),"")</f>
        <v/>
      </c>
      <c r="H239" s="44" t="inlineStr"/>
      <c r="I239" s="44" t="inlineStr"/>
    </row>
    <row r="240" ht="22" customHeight="1">
      <c r="A240" s="39" t="n">
        <v>46259</v>
      </c>
      <c r="B240" s="40" t="inlineStr">
        <is>
          <t>Tuesday</t>
        </is>
      </c>
      <c r="C240" s="40" t="inlineStr"/>
      <c r="D240" s="40" t="inlineStr"/>
      <c r="E240" s="64" t="inlineStr"/>
      <c r="F240" s="64" t="inlineStr"/>
      <c r="G240" s="64">
        <f>IFERROR(IF(AND(E240&lt;&gt;"",F240&lt;&gt;""),E240-F240,IF(E240&lt;&gt;"",E240,IF(F240&lt;&gt;"",-F240,""))),"")</f>
        <v/>
      </c>
      <c r="H240" s="40" t="inlineStr"/>
      <c r="I240" s="40" t="inlineStr"/>
    </row>
    <row r="241" ht="22" customHeight="1">
      <c r="A241" s="43" t="n">
        <v>46260</v>
      </c>
      <c r="B241" s="44" t="inlineStr">
        <is>
          <t>Wednesday</t>
        </is>
      </c>
      <c r="C241" s="44" t="inlineStr"/>
      <c r="D241" s="44" t="inlineStr"/>
      <c r="E241" s="65" t="inlineStr"/>
      <c r="F241" s="65" t="inlineStr"/>
      <c r="G241" s="65">
        <f>IFERROR(IF(AND(E241&lt;&gt;"",F241&lt;&gt;""),E241-F241,IF(E241&lt;&gt;"",E241,IF(F241&lt;&gt;"",-F241,""))),"")</f>
        <v/>
      </c>
      <c r="H241" s="44" t="inlineStr"/>
      <c r="I241" s="44" t="inlineStr"/>
    </row>
    <row r="242" ht="22" customHeight="1">
      <c r="A242" s="39" t="n">
        <v>46261</v>
      </c>
      <c r="B242" s="40" t="inlineStr">
        <is>
          <t>Thursday</t>
        </is>
      </c>
      <c r="C242" s="40" t="inlineStr"/>
      <c r="D242" s="40" t="inlineStr"/>
      <c r="E242" s="64" t="inlineStr"/>
      <c r="F242" s="64" t="inlineStr"/>
      <c r="G242" s="64">
        <f>IFERROR(IF(AND(E242&lt;&gt;"",F242&lt;&gt;""),E242-F242,IF(E242&lt;&gt;"",E242,IF(F242&lt;&gt;"",-F242,""))),"")</f>
        <v/>
      </c>
      <c r="H242" s="40" t="inlineStr"/>
      <c r="I242" s="40" t="inlineStr"/>
    </row>
    <row r="243" ht="22" customHeight="1">
      <c r="A243" s="43" t="n">
        <v>46262</v>
      </c>
      <c r="B243" s="44" t="inlineStr">
        <is>
          <t>Friday</t>
        </is>
      </c>
      <c r="C243" s="44" t="inlineStr"/>
      <c r="D243" s="44" t="inlineStr"/>
      <c r="E243" s="65" t="inlineStr"/>
      <c r="F243" s="65" t="inlineStr"/>
      <c r="G243" s="65">
        <f>IFERROR(IF(AND(E243&lt;&gt;"",F243&lt;&gt;""),E243-F243,IF(E243&lt;&gt;"",E243,IF(F243&lt;&gt;"",-F243,""))),"")</f>
        <v/>
      </c>
      <c r="H243" s="44" t="inlineStr"/>
      <c r="I243" s="44" t="inlineStr"/>
    </row>
    <row r="244" ht="22" customHeight="1">
      <c r="A244" s="39" t="n">
        <v>46263</v>
      </c>
      <c r="B244" s="40" t="inlineStr">
        <is>
          <t>Saturday</t>
        </is>
      </c>
      <c r="C244" s="40" t="inlineStr"/>
      <c r="D244" s="40" t="inlineStr"/>
      <c r="E244" s="64" t="inlineStr"/>
      <c r="F244" s="64" t="inlineStr"/>
      <c r="G244" s="64">
        <f>IFERROR(IF(AND(E244&lt;&gt;"",F244&lt;&gt;""),E244-F244,IF(E244&lt;&gt;"",E244,IF(F244&lt;&gt;"",-F244,""))),"")</f>
        <v/>
      </c>
      <c r="H244" s="40" t="inlineStr"/>
      <c r="I244" s="40" t="inlineStr"/>
    </row>
    <row r="245" ht="22" customHeight="1">
      <c r="A245" s="43" t="n">
        <v>46264</v>
      </c>
      <c r="B245" s="44" t="inlineStr">
        <is>
          <t>Sunday</t>
        </is>
      </c>
      <c r="C245" s="44" t="inlineStr"/>
      <c r="D245" s="44" t="inlineStr"/>
      <c r="E245" s="65" t="inlineStr"/>
      <c r="F245" s="65" t="inlineStr"/>
      <c r="G245" s="65">
        <f>IFERROR(IF(AND(E245&lt;&gt;"",F245&lt;&gt;""),E245-F245,IF(E245&lt;&gt;"",E245,IF(F245&lt;&gt;"",-F245,""))),"")</f>
        <v/>
      </c>
      <c r="H245" s="44" t="inlineStr"/>
      <c r="I245" s="44" t="inlineStr"/>
    </row>
    <row r="246" ht="22" customHeight="1">
      <c r="A246" s="39" t="n">
        <v>46265</v>
      </c>
      <c r="B246" s="40" t="inlineStr">
        <is>
          <t>Monday</t>
        </is>
      </c>
      <c r="C246" s="40" t="inlineStr"/>
      <c r="D246" s="40" t="inlineStr"/>
      <c r="E246" s="64" t="inlineStr"/>
      <c r="F246" s="64" t="inlineStr"/>
      <c r="G246" s="64">
        <f>IFERROR(IF(AND(E246&lt;&gt;"",F246&lt;&gt;""),E246-F246,IF(E246&lt;&gt;"",E246,IF(F246&lt;&gt;"",-F246,""))),"")</f>
        <v/>
      </c>
      <c r="H246" s="40" t="inlineStr"/>
      <c r="I246" s="40" t="inlineStr"/>
    </row>
    <row r="247" ht="22" customHeight="1">
      <c r="A247" s="43" t="n">
        <v>46266</v>
      </c>
      <c r="B247" s="44" t="inlineStr">
        <is>
          <t>Tuesday</t>
        </is>
      </c>
      <c r="C247" s="44" t="inlineStr"/>
      <c r="D247" s="44" t="inlineStr"/>
      <c r="E247" s="65" t="inlineStr"/>
      <c r="F247" s="65" t="inlineStr"/>
      <c r="G247" s="65">
        <f>IFERROR(IF(AND(E247&lt;&gt;"",F247&lt;&gt;""),E247-F247,IF(E247&lt;&gt;"",E247,IF(F247&lt;&gt;"",-F247,""))),"")</f>
        <v/>
      </c>
      <c r="H247" s="44" t="inlineStr"/>
      <c r="I247" s="44" t="inlineStr"/>
    </row>
    <row r="248" ht="22" customHeight="1">
      <c r="A248" s="39" t="n">
        <v>46267</v>
      </c>
      <c r="B248" s="40" t="inlineStr">
        <is>
          <t>Wednesday</t>
        </is>
      </c>
      <c r="C248" s="40" t="inlineStr"/>
      <c r="D248" s="40" t="inlineStr"/>
      <c r="E248" s="64" t="inlineStr"/>
      <c r="F248" s="64" t="inlineStr"/>
      <c r="G248" s="64">
        <f>IFERROR(IF(AND(E248&lt;&gt;"",F248&lt;&gt;""),E248-F248,IF(E248&lt;&gt;"",E248,IF(F248&lt;&gt;"",-F248,""))),"")</f>
        <v/>
      </c>
      <c r="H248" s="40" t="inlineStr"/>
      <c r="I248" s="40" t="inlineStr"/>
    </row>
    <row r="249" ht="22" customHeight="1">
      <c r="A249" s="43" t="n">
        <v>46268</v>
      </c>
      <c r="B249" s="44" t="inlineStr">
        <is>
          <t>Thursday</t>
        </is>
      </c>
      <c r="C249" s="44" t="inlineStr"/>
      <c r="D249" s="44" t="inlineStr"/>
      <c r="E249" s="65" t="inlineStr"/>
      <c r="F249" s="65" t="inlineStr"/>
      <c r="G249" s="65">
        <f>IFERROR(IF(AND(E249&lt;&gt;"",F249&lt;&gt;""),E249-F249,IF(E249&lt;&gt;"",E249,IF(F249&lt;&gt;"",-F249,""))),"")</f>
        <v/>
      </c>
      <c r="H249" s="44" t="inlineStr"/>
      <c r="I249" s="44" t="inlineStr"/>
    </row>
    <row r="250" ht="22" customHeight="1">
      <c r="A250" s="39" t="n">
        <v>46269</v>
      </c>
      <c r="B250" s="40" t="inlineStr">
        <is>
          <t>Friday</t>
        </is>
      </c>
      <c r="C250" s="40" t="inlineStr"/>
      <c r="D250" s="40" t="inlineStr"/>
      <c r="E250" s="64" t="inlineStr"/>
      <c r="F250" s="64" t="inlineStr"/>
      <c r="G250" s="64">
        <f>IFERROR(IF(AND(E250&lt;&gt;"",F250&lt;&gt;""),E250-F250,IF(E250&lt;&gt;"",E250,IF(F250&lt;&gt;"",-F250,""))),"")</f>
        <v/>
      </c>
      <c r="H250" s="40" t="inlineStr"/>
      <c r="I250" s="40" t="inlineStr"/>
    </row>
    <row r="251" ht="22" customHeight="1">
      <c r="A251" s="43" t="n">
        <v>46270</v>
      </c>
      <c r="B251" s="44" t="inlineStr">
        <is>
          <t>Saturday</t>
        </is>
      </c>
      <c r="C251" s="44" t="inlineStr"/>
      <c r="D251" s="44" t="inlineStr"/>
      <c r="E251" s="65" t="inlineStr"/>
      <c r="F251" s="65" t="inlineStr"/>
      <c r="G251" s="65">
        <f>IFERROR(IF(AND(E251&lt;&gt;"",F251&lt;&gt;""),E251-F251,IF(E251&lt;&gt;"",E251,IF(F251&lt;&gt;"",-F251,""))),"")</f>
        <v/>
      </c>
      <c r="H251" s="44" t="inlineStr"/>
      <c r="I251" s="44" t="inlineStr"/>
    </row>
    <row r="252" ht="22" customHeight="1">
      <c r="A252" s="39" t="n">
        <v>46271</v>
      </c>
      <c r="B252" s="40" t="inlineStr">
        <is>
          <t>Sunday</t>
        </is>
      </c>
      <c r="C252" s="40" t="inlineStr"/>
      <c r="D252" s="40" t="inlineStr"/>
      <c r="E252" s="64" t="inlineStr"/>
      <c r="F252" s="64" t="inlineStr"/>
      <c r="G252" s="64">
        <f>IFERROR(IF(AND(E252&lt;&gt;"",F252&lt;&gt;""),E252-F252,IF(E252&lt;&gt;"",E252,IF(F252&lt;&gt;"",-F252,""))),"")</f>
        <v/>
      </c>
      <c r="H252" s="40" t="inlineStr"/>
      <c r="I252" s="40" t="inlineStr"/>
    </row>
    <row r="253" ht="22" customHeight="1">
      <c r="A253" s="43" t="n">
        <v>46272</v>
      </c>
      <c r="B253" s="44" t="inlineStr">
        <is>
          <t>Monday</t>
        </is>
      </c>
      <c r="C253" s="44" t="inlineStr"/>
      <c r="D253" s="44" t="inlineStr"/>
      <c r="E253" s="65" t="inlineStr"/>
      <c r="F253" s="65" t="inlineStr"/>
      <c r="G253" s="65">
        <f>IFERROR(IF(AND(E253&lt;&gt;"",F253&lt;&gt;""),E253-F253,IF(E253&lt;&gt;"",E253,IF(F253&lt;&gt;"",-F253,""))),"")</f>
        <v/>
      </c>
      <c r="H253" s="44" t="inlineStr"/>
      <c r="I253" s="44" t="inlineStr"/>
    </row>
    <row r="254" ht="22" customHeight="1">
      <c r="A254" s="39" t="n">
        <v>46273</v>
      </c>
      <c r="B254" s="40" t="inlineStr">
        <is>
          <t>Tuesday</t>
        </is>
      </c>
      <c r="C254" s="40" t="inlineStr"/>
      <c r="D254" s="40" t="inlineStr"/>
      <c r="E254" s="64" t="inlineStr"/>
      <c r="F254" s="64" t="inlineStr"/>
      <c r="G254" s="64">
        <f>IFERROR(IF(AND(E254&lt;&gt;"",F254&lt;&gt;""),E254-F254,IF(E254&lt;&gt;"",E254,IF(F254&lt;&gt;"",-F254,""))),"")</f>
        <v/>
      </c>
      <c r="H254" s="40" t="inlineStr"/>
      <c r="I254" s="40" t="inlineStr"/>
    </row>
    <row r="255" ht="22" customHeight="1">
      <c r="A255" s="43" t="n">
        <v>46274</v>
      </c>
      <c r="B255" s="44" t="inlineStr">
        <is>
          <t>Wednesday</t>
        </is>
      </c>
      <c r="C255" s="44" t="inlineStr"/>
      <c r="D255" s="44" t="inlineStr"/>
      <c r="E255" s="65" t="inlineStr"/>
      <c r="F255" s="65" t="inlineStr"/>
      <c r="G255" s="65">
        <f>IFERROR(IF(AND(E255&lt;&gt;"",F255&lt;&gt;""),E255-F255,IF(E255&lt;&gt;"",E255,IF(F255&lt;&gt;"",-F255,""))),"")</f>
        <v/>
      </c>
      <c r="H255" s="44" t="inlineStr"/>
      <c r="I255" s="44" t="inlineStr"/>
    </row>
    <row r="256" ht="22" customHeight="1">
      <c r="A256" s="39" t="n">
        <v>46275</v>
      </c>
      <c r="B256" s="40" t="inlineStr">
        <is>
          <t>Thursday</t>
        </is>
      </c>
      <c r="C256" s="40" t="inlineStr"/>
      <c r="D256" s="40" t="inlineStr"/>
      <c r="E256" s="64" t="inlineStr"/>
      <c r="F256" s="64" t="inlineStr"/>
      <c r="G256" s="64">
        <f>IFERROR(IF(AND(E256&lt;&gt;"",F256&lt;&gt;""),E256-F256,IF(E256&lt;&gt;"",E256,IF(F256&lt;&gt;"",-F256,""))),"")</f>
        <v/>
      </c>
      <c r="H256" s="40" t="inlineStr"/>
      <c r="I256" s="40" t="inlineStr"/>
    </row>
    <row r="257" ht="22" customHeight="1">
      <c r="A257" s="43" t="n">
        <v>46276</v>
      </c>
      <c r="B257" s="44" t="inlineStr">
        <is>
          <t>Friday</t>
        </is>
      </c>
      <c r="C257" s="44" t="inlineStr"/>
      <c r="D257" s="44" t="inlineStr"/>
      <c r="E257" s="65" t="inlineStr"/>
      <c r="F257" s="65" t="inlineStr"/>
      <c r="G257" s="65">
        <f>IFERROR(IF(AND(E257&lt;&gt;"",F257&lt;&gt;""),E257-F257,IF(E257&lt;&gt;"",E257,IF(F257&lt;&gt;"",-F257,""))),"")</f>
        <v/>
      </c>
      <c r="H257" s="44" t="inlineStr"/>
      <c r="I257" s="44" t="inlineStr"/>
    </row>
    <row r="258" ht="22" customHeight="1">
      <c r="A258" s="39" t="n">
        <v>46277</v>
      </c>
      <c r="B258" s="40" t="inlineStr">
        <is>
          <t>Saturday</t>
        </is>
      </c>
      <c r="C258" s="40" t="inlineStr"/>
      <c r="D258" s="40" t="inlineStr"/>
      <c r="E258" s="64" t="inlineStr"/>
      <c r="F258" s="64" t="inlineStr"/>
      <c r="G258" s="64">
        <f>IFERROR(IF(AND(E258&lt;&gt;"",F258&lt;&gt;""),E258-F258,IF(E258&lt;&gt;"",E258,IF(F258&lt;&gt;"",-F258,""))),"")</f>
        <v/>
      </c>
      <c r="H258" s="40" t="inlineStr"/>
      <c r="I258" s="40" t="inlineStr"/>
    </row>
    <row r="259" ht="22" customHeight="1">
      <c r="A259" s="43" t="n">
        <v>46278</v>
      </c>
      <c r="B259" s="44" t="inlineStr">
        <is>
          <t>Sunday</t>
        </is>
      </c>
      <c r="C259" s="44" t="inlineStr"/>
      <c r="D259" s="44" t="inlineStr"/>
      <c r="E259" s="65" t="inlineStr"/>
      <c r="F259" s="65" t="inlineStr"/>
      <c r="G259" s="65">
        <f>IFERROR(IF(AND(E259&lt;&gt;"",F259&lt;&gt;""),E259-F259,IF(E259&lt;&gt;"",E259,IF(F259&lt;&gt;"",-F259,""))),"")</f>
        <v/>
      </c>
      <c r="H259" s="44" t="inlineStr"/>
      <c r="I259" s="44" t="inlineStr"/>
    </row>
    <row r="260" ht="22" customHeight="1">
      <c r="A260" s="39" t="n">
        <v>46279</v>
      </c>
      <c r="B260" s="40" t="inlineStr">
        <is>
          <t>Monday</t>
        </is>
      </c>
      <c r="C260" s="40" t="inlineStr"/>
      <c r="D260" s="40" t="inlineStr"/>
      <c r="E260" s="64" t="inlineStr"/>
      <c r="F260" s="64" t="inlineStr"/>
      <c r="G260" s="64">
        <f>IFERROR(IF(AND(E260&lt;&gt;"",F260&lt;&gt;""),E260-F260,IF(E260&lt;&gt;"",E260,IF(F260&lt;&gt;"",-F260,""))),"")</f>
        <v/>
      </c>
      <c r="H260" s="40" t="inlineStr"/>
      <c r="I260" s="40" t="inlineStr"/>
    </row>
    <row r="261" ht="22" customHeight="1">
      <c r="A261" s="43" t="n">
        <v>46280</v>
      </c>
      <c r="B261" s="44" t="inlineStr">
        <is>
          <t>Tuesday</t>
        </is>
      </c>
      <c r="C261" s="44" t="inlineStr"/>
      <c r="D261" s="44" t="inlineStr"/>
      <c r="E261" s="65" t="inlineStr"/>
      <c r="F261" s="65" t="inlineStr"/>
      <c r="G261" s="65">
        <f>IFERROR(IF(AND(E261&lt;&gt;"",F261&lt;&gt;""),E261-F261,IF(E261&lt;&gt;"",E261,IF(F261&lt;&gt;"",-F261,""))),"")</f>
        <v/>
      </c>
      <c r="H261" s="44" t="inlineStr"/>
      <c r="I261" s="44" t="inlineStr"/>
    </row>
    <row r="262" ht="22" customHeight="1">
      <c r="A262" s="39" t="n">
        <v>46281</v>
      </c>
      <c r="B262" s="40" t="inlineStr">
        <is>
          <t>Wednesday</t>
        </is>
      </c>
      <c r="C262" s="40" t="inlineStr"/>
      <c r="D262" s="40" t="inlineStr"/>
      <c r="E262" s="64" t="inlineStr"/>
      <c r="F262" s="64" t="inlineStr"/>
      <c r="G262" s="64">
        <f>IFERROR(IF(AND(E262&lt;&gt;"",F262&lt;&gt;""),E262-F262,IF(E262&lt;&gt;"",E262,IF(F262&lt;&gt;"",-F262,""))),"")</f>
        <v/>
      </c>
      <c r="H262" s="40" t="inlineStr"/>
      <c r="I262" s="40" t="inlineStr"/>
    </row>
    <row r="263" ht="22" customHeight="1">
      <c r="A263" s="43" t="n">
        <v>46282</v>
      </c>
      <c r="B263" s="44" t="inlineStr">
        <is>
          <t>Thursday</t>
        </is>
      </c>
      <c r="C263" s="44" t="inlineStr"/>
      <c r="D263" s="44" t="inlineStr"/>
      <c r="E263" s="65" t="inlineStr"/>
      <c r="F263" s="65" t="inlineStr"/>
      <c r="G263" s="65">
        <f>IFERROR(IF(AND(E263&lt;&gt;"",F263&lt;&gt;""),E263-F263,IF(E263&lt;&gt;"",E263,IF(F263&lt;&gt;"",-F263,""))),"")</f>
        <v/>
      </c>
      <c r="H263" s="44" t="inlineStr"/>
      <c r="I263" s="44" t="inlineStr"/>
    </row>
    <row r="264" ht="22" customHeight="1">
      <c r="A264" s="39" t="n">
        <v>46283</v>
      </c>
      <c r="B264" s="40" t="inlineStr">
        <is>
          <t>Friday</t>
        </is>
      </c>
      <c r="C264" s="40" t="inlineStr"/>
      <c r="D264" s="40" t="inlineStr"/>
      <c r="E264" s="64" t="inlineStr"/>
      <c r="F264" s="64" t="inlineStr"/>
      <c r="G264" s="64">
        <f>IFERROR(IF(AND(E264&lt;&gt;"",F264&lt;&gt;""),E264-F264,IF(E264&lt;&gt;"",E264,IF(F264&lt;&gt;"",-F264,""))),"")</f>
        <v/>
      </c>
      <c r="H264" s="40" t="inlineStr"/>
      <c r="I264" s="40" t="inlineStr"/>
    </row>
    <row r="265" ht="22" customHeight="1">
      <c r="A265" s="43" t="n">
        <v>46284</v>
      </c>
      <c r="B265" s="44" t="inlineStr">
        <is>
          <t>Saturday</t>
        </is>
      </c>
      <c r="C265" s="44" t="inlineStr"/>
      <c r="D265" s="44" t="inlineStr"/>
      <c r="E265" s="65" t="inlineStr"/>
      <c r="F265" s="65" t="inlineStr"/>
      <c r="G265" s="65">
        <f>IFERROR(IF(AND(E265&lt;&gt;"",F265&lt;&gt;""),E265-F265,IF(E265&lt;&gt;"",E265,IF(F265&lt;&gt;"",-F265,""))),"")</f>
        <v/>
      </c>
      <c r="H265" s="44" t="inlineStr"/>
      <c r="I265" s="44" t="inlineStr"/>
    </row>
    <row r="266" ht="22" customHeight="1">
      <c r="A266" s="39" t="n">
        <v>46285</v>
      </c>
      <c r="B266" s="40" t="inlineStr">
        <is>
          <t>Sunday</t>
        </is>
      </c>
      <c r="C266" s="40" t="inlineStr"/>
      <c r="D266" s="40" t="inlineStr"/>
      <c r="E266" s="64" t="inlineStr"/>
      <c r="F266" s="64" t="inlineStr"/>
      <c r="G266" s="64">
        <f>IFERROR(IF(AND(E266&lt;&gt;"",F266&lt;&gt;""),E266-F266,IF(E266&lt;&gt;"",E266,IF(F266&lt;&gt;"",-F266,""))),"")</f>
        <v/>
      </c>
      <c r="H266" s="40" t="inlineStr"/>
      <c r="I266" s="40" t="inlineStr"/>
    </row>
    <row r="267" ht="22" customHeight="1">
      <c r="A267" s="43" t="n">
        <v>46286</v>
      </c>
      <c r="B267" s="44" t="inlineStr">
        <is>
          <t>Monday</t>
        </is>
      </c>
      <c r="C267" s="44" t="inlineStr"/>
      <c r="D267" s="44" t="inlineStr"/>
      <c r="E267" s="65" t="inlineStr"/>
      <c r="F267" s="65" t="inlineStr"/>
      <c r="G267" s="65">
        <f>IFERROR(IF(AND(E267&lt;&gt;"",F267&lt;&gt;""),E267-F267,IF(E267&lt;&gt;"",E267,IF(F267&lt;&gt;"",-F267,""))),"")</f>
        <v/>
      </c>
      <c r="H267" s="44" t="inlineStr"/>
      <c r="I267" s="44" t="inlineStr"/>
    </row>
    <row r="268" ht="22" customHeight="1">
      <c r="A268" s="39" t="n">
        <v>46287</v>
      </c>
      <c r="B268" s="40" t="inlineStr">
        <is>
          <t>Tuesday</t>
        </is>
      </c>
      <c r="C268" s="40" t="inlineStr"/>
      <c r="D268" s="40" t="inlineStr"/>
      <c r="E268" s="64" t="inlineStr"/>
      <c r="F268" s="64" t="inlineStr"/>
      <c r="G268" s="64">
        <f>IFERROR(IF(AND(E268&lt;&gt;"",F268&lt;&gt;""),E268-F268,IF(E268&lt;&gt;"",E268,IF(F268&lt;&gt;"",-F268,""))),"")</f>
        <v/>
      </c>
      <c r="H268" s="40" t="inlineStr"/>
      <c r="I268" s="40" t="inlineStr"/>
    </row>
    <row r="269" ht="22" customHeight="1">
      <c r="A269" s="43" t="n">
        <v>46288</v>
      </c>
      <c r="B269" s="44" t="inlineStr">
        <is>
          <t>Wednesday</t>
        </is>
      </c>
      <c r="C269" s="44" t="inlineStr"/>
      <c r="D269" s="44" t="inlineStr"/>
      <c r="E269" s="65" t="inlineStr"/>
      <c r="F269" s="65" t="inlineStr"/>
      <c r="G269" s="65">
        <f>IFERROR(IF(AND(E269&lt;&gt;"",F269&lt;&gt;""),E269-F269,IF(E269&lt;&gt;"",E269,IF(F269&lt;&gt;"",-F269,""))),"")</f>
        <v/>
      </c>
      <c r="H269" s="44" t="inlineStr"/>
      <c r="I269" s="44" t="inlineStr"/>
    </row>
    <row r="270" ht="22" customHeight="1">
      <c r="A270" s="39" t="n">
        <v>46289</v>
      </c>
      <c r="B270" s="40" t="inlineStr">
        <is>
          <t>Thursday</t>
        </is>
      </c>
      <c r="C270" s="40" t="inlineStr"/>
      <c r="D270" s="40" t="inlineStr"/>
      <c r="E270" s="64" t="inlineStr"/>
      <c r="F270" s="64" t="inlineStr"/>
      <c r="G270" s="64">
        <f>IFERROR(IF(AND(E270&lt;&gt;"",F270&lt;&gt;""),E270-F270,IF(E270&lt;&gt;"",E270,IF(F270&lt;&gt;"",-F270,""))),"")</f>
        <v/>
      </c>
      <c r="H270" s="40" t="inlineStr"/>
      <c r="I270" s="40" t="inlineStr"/>
    </row>
    <row r="271" ht="22" customHeight="1">
      <c r="A271" s="43" t="n">
        <v>46290</v>
      </c>
      <c r="B271" s="44" t="inlineStr">
        <is>
          <t>Friday</t>
        </is>
      </c>
      <c r="C271" s="44" t="inlineStr"/>
      <c r="D271" s="44" t="inlineStr"/>
      <c r="E271" s="65" t="inlineStr"/>
      <c r="F271" s="65" t="inlineStr"/>
      <c r="G271" s="65">
        <f>IFERROR(IF(AND(E271&lt;&gt;"",F271&lt;&gt;""),E271-F271,IF(E271&lt;&gt;"",E271,IF(F271&lt;&gt;"",-F271,""))),"")</f>
        <v/>
      </c>
      <c r="H271" s="44" t="inlineStr"/>
      <c r="I271" s="44" t="inlineStr"/>
    </row>
    <row r="272" ht="22" customHeight="1">
      <c r="A272" s="39" t="n">
        <v>46291</v>
      </c>
      <c r="B272" s="40" t="inlineStr">
        <is>
          <t>Saturday</t>
        </is>
      </c>
      <c r="C272" s="40" t="inlineStr"/>
      <c r="D272" s="40" t="inlineStr"/>
      <c r="E272" s="64" t="inlineStr"/>
      <c r="F272" s="64" t="inlineStr"/>
      <c r="G272" s="64">
        <f>IFERROR(IF(AND(E272&lt;&gt;"",F272&lt;&gt;""),E272-F272,IF(E272&lt;&gt;"",E272,IF(F272&lt;&gt;"",-F272,""))),"")</f>
        <v/>
      </c>
      <c r="H272" s="40" t="inlineStr"/>
      <c r="I272" s="40" t="inlineStr"/>
    </row>
    <row r="273" ht="22" customHeight="1">
      <c r="A273" s="43" t="n">
        <v>46292</v>
      </c>
      <c r="B273" s="44" t="inlineStr">
        <is>
          <t>Sunday</t>
        </is>
      </c>
      <c r="C273" s="44" t="inlineStr"/>
      <c r="D273" s="44" t="inlineStr"/>
      <c r="E273" s="65" t="inlineStr"/>
      <c r="F273" s="65" t="inlineStr"/>
      <c r="G273" s="65">
        <f>IFERROR(IF(AND(E273&lt;&gt;"",F273&lt;&gt;""),E273-F273,IF(E273&lt;&gt;"",E273,IF(F273&lt;&gt;"",-F273,""))),"")</f>
        <v/>
      </c>
      <c r="H273" s="44" t="inlineStr"/>
      <c r="I273" s="44" t="inlineStr"/>
    </row>
    <row r="274" ht="22" customHeight="1">
      <c r="A274" s="39" t="n">
        <v>46293</v>
      </c>
      <c r="B274" s="40" t="inlineStr">
        <is>
          <t>Monday</t>
        </is>
      </c>
      <c r="C274" s="40" t="inlineStr"/>
      <c r="D274" s="40" t="inlineStr"/>
      <c r="E274" s="64" t="inlineStr"/>
      <c r="F274" s="64" t="inlineStr"/>
      <c r="G274" s="64">
        <f>IFERROR(IF(AND(E274&lt;&gt;"",F274&lt;&gt;""),E274-F274,IF(E274&lt;&gt;"",E274,IF(F274&lt;&gt;"",-F274,""))),"")</f>
        <v/>
      </c>
      <c r="H274" s="40" t="inlineStr"/>
      <c r="I274" s="40" t="inlineStr"/>
    </row>
    <row r="275" ht="22" customHeight="1">
      <c r="A275" s="43" t="n">
        <v>46294</v>
      </c>
      <c r="B275" s="44" t="inlineStr">
        <is>
          <t>Tuesday</t>
        </is>
      </c>
      <c r="C275" s="44" t="inlineStr"/>
      <c r="D275" s="44" t="inlineStr"/>
      <c r="E275" s="65" t="inlineStr"/>
      <c r="F275" s="65" t="inlineStr"/>
      <c r="G275" s="65">
        <f>IFERROR(IF(AND(E275&lt;&gt;"",F275&lt;&gt;""),E275-F275,IF(E275&lt;&gt;"",E275,IF(F275&lt;&gt;"",-F275,""))),"")</f>
        <v/>
      </c>
      <c r="H275" s="44" t="inlineStr"/>
      <c r="I275" s="44" t="inlineStr"/>
    </row>
    <row r="276" ht="22" customHeight="1">
      <c r="A276" s="39" t="n">
        <v>46295</v>
      </c>
      <c r="B276" s="40" t="inlineStr">
        <is>
          <t>Wednesday</t>
        </is>
      </c>
      <c r="C276" s="40" t="inlineStr"/>
      <c r="D276" s="40" t="inlineStr"/>
      <c r="E276" s="64" t="inlineStr"/>
      <c r="F276" s="64" t="inlineStr"/>
      <c r="G276" s="64">
        <f>IFERROR(IF(AND(E276&lt;&gt;"",F276&lt;&gt;""),E276-F276,IF(E276&lt;&gt;"",E276,IF(F276&lt;&gt;"",-F276,""))),"")</f>
        <v/>
      </c>
      <c r="H276" s="40" t="inlineStr"/>
      <c r="I276" s="40" t="inlineStr"/>
    </row>
    <row r="277" ht="22" customHeight="1">
      <c r="A277" s="43" t="n">
        <v>46296</v>
      </c>
      <c r="B277" s="44" t="inlineStr">
        <is>
          <t>Thursday</t>
        </is>
      </c>
      <c r="C277" s="44" t="inlineStr"/>
      <c r="D277" s="44" t="inlineStr"/>
      <c r="E277" s="65" t="inlineStr"/>
      <c r="F277" s="65" t="inlineStr"/>
      <c r="G277" s="65">
        <f>IFERROR(IF(AND(E277&lt;&gt;"",F277&lt;&gt;""),E277-F277,IF(E277&lt;&gt;"",E277,IF(F277&lt;&gt;"",-F277,""))),"")</f>
        <v/>
      </c>
      <c r="H277" s="44" t="inlineStr"/>
      <c r="I277" s="44" t="inlineStr"/>
    </row>
    <row r="278" ht="22" customHeight="1">
      <c r="A278" s="39" t="n">
        <v>46297</v>
      </c>
      <c r="B278" s="40" t="inlineStr">
        <is>
          <t>Friday</t>
        </is>
      </c>
      <c r="C278" s="40" t="inlineStr"/>
      <c r="D278" s="40" t="inlineStr"/>
      <c r="E278" s="64" t="inlineStr"/>
      <c r="F278" s="64" t="inlineStr"/>
      <c r="G278" s="64">
        <f>IFERROR(IF(AND(E278&lt;&gt;"",F278&lt;&gt;""),E278-F278,IF(E278&lt;&gt;"",E278,IF(F278&lt;&gt;"",-F278,""))),"")</f>
        <v/>
      </c>
      <c r="H278" s="40" t="inlineStr"/>
      <c r="I278" s="40" t="inlineStr"/>
    </row>
    <row r="279" ht="22" customHeight="1">
      <c r="A279" s="43" t="n">
        <v>46298</v>
      </c>
      <c r="B279" s="44" t="inlineStr">
        <is>
          <t>Saturday</t>
        </is>
      </c>
      <c r="C279" s="44" t="inlineStr"/>
      <c r="D279" s="44" t="inlineStr"/>
      <c r="E279" s="65" t="inlineStr"/>
      <c r="F279" s="65" t="inlineStr"/>
      <c r="G279" s="65">
        <f>IFERROR(IF(AND(E279&lt;&gt;"",F279&lt;&gt;""),E279-F279,IF(E279&lt;&gt;"",E279,IF(F279&lt;&gt;"",-F279,""))),"")</f>
        <v/>
      </c>
      <c r="H279" s="44" t="inlineStr"/>
      <c r="I279" s="44" t="inlineStr"/>
    </row>
    <row r="280" ht="22" customHeight="1">
      <c r="A280" s="39" t="n">
        <v>46299</v>
      </c>
      <c r="B280" s="40" t="inlineStr">
        <is>
          <t>Sunday</t>
        </is>
      </c>
      <c r="C280" s="40" t="inlineStr"/>
      <c r="D280" s="40" t="inlineStr"/>
      <c r="E280" s="64" t="inlineStr"/>
      <c r="F280" s="64" t="inlineStr"/>
      <c r="G280" s="64">
        <f>IFERROR(IF(AND(E280&lt;&gt;"",F280&lt;&gt;""),E280-F280,IF(E280&lt;&gt;"",E280,IF(F280&lt;&gt;"",-F280,""))),"")</f>
        <v/>
      </c>
      <c r="H280" s="40" t="inlineStr"/>
      <c r="I280" s="40" t="inlineStr"/>
    </row>
    <row r="281" ht="22" customHeight="1">
      <c r="A281" s="43" t="n">
        <v>46300</v>
      </c>
      <c r="B281" s="44" t="inlineStr">
        <is>
          <t>Monday</t>
        </is>
      </c>
      <c r="C281" s="44" t="inlineStr"/>
      <c r="D281" s="44" t="inlineStr"/>
      <c r="E281" s="65" t="inlineStr"/>
      <c r="F281" s="65" t="inlineStr"/>
      <c r="G281" s="65">
        <f>IFERROR(IF(AND(E281&lt;&gt;"",F281&lt;&gt;""),E281-F281,IF(E281&lt;&gt;"",E281,IF(F281&lt;&gt;"",-F281,""))),"")</f>
        <v/>
      </c>
      <c r="H281" s="44" t="inlineStr"/>
      <c r="I281" s="44" t="inlineStr"/>
    </row>
    <row r="282" ht="22" customHeight="1">
      <c r="A282" s="39" t="n">
        <v>46301</v>
      </c>
      <c r="B282" s="40" t="inlineStr">
        <is>
          <t>Tuesday</t>
        </is>
      </c>
      <c r="C282" s="40" t="inlineStr"/>
      <c r="D282" s="40" t="inlineStr"/>
      <c r="E282" s="64" t="inlineStr"/>
      <c r="F282" s="64" t="inlineStr"/>
      <c r="G282" s="64">
        <f>IFERROR(IF(AND(E282&lt;&gt;"",F282&lt;&gt;""),E282-F282,IF(E282&lt;&gt;"",E282,IF(F282&lt;&gt;"",-F282,""))),"")</f>
        <v/>
      </c>
      <c r="H282" s="40" t="inlineStr"/>
      <c r="I282" s="40" t="inlineStr"/>
    </row>
    <row r="283" ht="22" customHeight="1">
      <c r="A283" s="43" t="n">
        <v>46302</v>
      </c>
      <c r="B283" s="44" t="inlineStr">
        <is>
          <t>Wednesday</t>
        </is>
      </c>
      <c r="C283" s="44" t="inlineStr"/>
      <c r="D283" s="44" t="inlineStr"/>
      <c r="E283" s="65" t="inlineStr"/>
      <c r="F283" s="65" t="inlineStr"/>
      <c r="G283" s="65">
        <f>IFERROR(IF(AND(E283&lt;&gt;"",F283&lt;&gt;""),E283-F283,IF(E283&lt;&gt;"",E283,IF(F283&lt;&gt;"",-F283,""))),"")</f>
        <v/>
      </c>
      <c r="H283" s="44" t="inlineStr"/>
      <c r="I283" s="44" t="inlineStr"/>
    </row>
    <row r="284" ht="22" customHeight="1">
      <c r="A284" s="39" t="n">
        <v>46303</v>
      </c>
      <c r="B284" s="40" t="inlineStr">
        <is>
          <t>Thursday</t>
        </is>
      </c>
      <c r="C284" s="40" t="inlineStr"/>
      <c r="D284" s="40" t="inlineStr"/>
      <c r="E284" s="64" t="inlineStr"/>
      <c r="F284" s="64" t="inlineStr"/>
      <c r="G284" s="64">
        <f>IFERROR(IF(AND(E284&lt;&gt;"",F284&lt;&gt;""),E284-F284,IF(E284&lt;&gt;"",E284,IF(F284&lt;&gt;"",-F284,""))),"")</f>
        <v/>
      </c>
      <c r="H284" s="40" t="inlineStr"/>
      <c r="I284" s="40" t="inlineStr"/>
    </row>
    <row r="285" ht="22" customHeight="1">
      <c r="A285" s="43" t="n">
        <v>46304</v>
      </c>
      <c r="B285" s="44" t="inlineStr">
        <is>
          <t>Friday</t>
        </is>
      </c>
      <c r="C285" s="44" t="inlineStr"/>
      <c r="D285" s="44" t="inlineStr"/>
      <c r="E285" s="65" t="inlineStr"/>
      <c r="F285" s="65" t="inlineStr"/>
      <c r="G285" s="65">
        <f>IFERROR(IF(AND(E285&lt;&gt;"",F285&lt;&gt;""),E285-F285,IF(E285&lt;&gt;"",E285,IF(F285&lt;&gt;"",-F285,""))),"")</f>
        <v/>
      </c>
      <c r="H285" s="44" t="inlineStr"/>
      <c r="I285" s="44" t="inlineStr"/>
    </row>
    <row r="286" ht="22" customHeight="1">
      <c r="A286" s="39" t="n">
        <v>46305</v>
      </c>
      <c r="B286" s="40" t="inlineStr">
        <is>
          <t>Saturday</t>
        </is>
      </c>
      <c r="C286" s="40" t="inlineStr"/>
      <c r="D286" s="40" t="inlineStr"/>
      <c r="E286" s="64" t="inlineStr"/>
      <c r="F286" s="64" t="inlineStr"/>
      <c r="G286" s="64">
        <f>IFERROR(IF(AND(E286&lt;&gt;"",F286&lt;&gt;""),E286-F286,IF(E286&lt;&gt;"",E286,IF(F286&lt;&gt;"",-F286,""))),"")</f>
        <v/>
      </c>
      <c r="H286" s="40" t="inlineStr"/>
      <c r="I286" s="40" t="inlineStr"/>
    </row>
    <row r="287" ht="22" customHeight="1">
      <c r="A287" s="43" t="n">
        <v>46306</v>
      </c>
      <c r="B287" s="44" t="inlineStr">
        <is>
          <t>Sunday</t>
        </is>
      </c>
      <c r="C287" s="44" t="inlineStr"/>
      <c r="D287" s="44" t="inlineStr"/>
      <c r="E287" s="65" t="inlineStr"/>
      <c r="F287" s="65" t="inlineStr"/>
      <c r="G287" s="65">
        <f>IFERROR(IF(AND(E287&lt;&gt;"",F287&lt;&gt;""),E287-F287,IF(E287&lt;&gt;"",E287,IF(F287&lt;&gt;"",-F287,""))),"")</f>
        <v/>
      </c>
      <c r="H287" s="44" t="inlineStr"/>
      <c r="I287" s="44" t="inlineStr"/>
    </row>
    <row r="288" ht="22" customHeight="1">
      <c r="A288" s="39" t="n">
        <v>46307</v>
      </c>
      <c r="B288" s="40" t="inlineStr">
        <is>
          <t>Monday</t>
        </is>
      </c>
      <c r="C288" s="40" t="inlineStr"/>
      <c r="D288" s="40" t="inlineStr"/>
      <c r="E288" s="64" t="inlineStr"/>
      <c r="F288" s="64" t="inlineStr"/>
      <c r="G288" s="64">
        <f>IFERROR(IF(AND(E288&lt;&gt;"",F288&lt;&gt;""),E288-F288,IF(E288&lt;&gt;"",E288,IF(F288&lt;&gt;"",-F288,""))),"")</f>
        <v/>
      </c>
      <c r="H288" s="40" t="inlineStr"/>
      <c r="I288" s="40" t="inlineStr"/>
    </row>
    <row r="289" ht="22" customHeight="1">
      <c r="A289" s="43" t="n">
        <v>46308</v>
      </c>
      <c r="B289" s="44" t="inlineStr">
        <is>
          <t>Tuesday</t>
        </is>
      </c>
      <c r="C289" s="44" t="inlineStr"/>
      <c r="D289" s="44" t="inlineStr"/>
      <c r="E289" s="65" t="inlineStr"/>
      <c r="F289" s="65" t="inlineStr"/>
      <c r="G289" s="65">
        <f>IFERROR(IF(AND(E289&lt;&gt;"",F289&lt;&gt;""),E289-F289,IF(E289&lt;&gt;"",E289,IF(F289&lt;&gt;"",-F289,""))),"")</f>
        <v/>
      </c>
      <c r="H289" s="44" t="inlineStr"/>
      <c r="I289" s="44" t="inlineStr"/>
    </row>
    <row r="290" ht="22" customHeight="1">
      <c r="A290" s="39" t="n">
        <v>46309</v>
      </c>
      <c r="B290" s="40" t="inlineStr">
        <is>
          <t>Wednesday</t>
        </is>
      </c>
      <c r="C290" s="40" t="inlineStr"/>
      <c r="D290" s="40" t="inlineStr"/>
      <c r="E290" s="64" t="inlineStr"/>
      <c r="F290" s="64" t="inlineStr"/>
      <c r="G290" s="64">
        <f>IFERROR(IF(AND(E290&lt;&gt;"",F290&lt;&gt;""),E290-F290,IF(E290&lt;&gt;"",E290,IF(F290&lt;&gt;"",-F290,""))),"")</f>
        <v/>
      </c>
      <c r="H290" s="40" t="inlineStr"/>
      <c r="I290" s="40" t="inlineStr"/>
    </row>
    <row r="291" ht="22" customHeight="1">
      <c r="A291" s="43" t="n">
        <v>46310</v>
      </c>
      <c r="B291" s="44" t="inlineStr">
        <is>
          <t>Thursday</t>
        </is>
      </c>
      <c r="C291" s="44" t="inlineStr"/>
      <c r="D291" s="44" t="inlineStr"/>
      <c r="E291" s="65" t="inlineStr"/>
      <c r="F291" s="65" t="inlineStr"/>
      <c r="G291" s="65">
        <f>IFERROR(IF(AND(E291&lt;&gt;"",F291&lt;&gt;""),E291-F291,IF(E291&lt;&gt;"",E291,IF(F291&lt;&gt;"",-F291,""))),"")</f>
        <v/>
      </c>
      <c r="H291" s="44" t="inlineStr"/>
      <c r="I291" s="44" t="inlineStr"/>
    </row>
    <row r="292" ht="22" customHeight="1">
      <c r="A292" s="39" t="n">
        <v>46311</v>
      </c>
      <c r="B292" s="40" t="inlineStr">
        <is>
          <t>Friday</t>
        </is>
      </c>
      <c r="C292" s="40" t="inlineStr"/>
      <c r="D292" s="40" t="inlineStr"/>
      <c r="E292" s="64" t="inlineStr"/>
      <c r="F292" s="64" t="inlineStr"/>
      <c r="G292" s="64">
        <f>IFERROR(IF(AND(E292&lt;&gt;"",F292&lt;&gt;""),E292-F292,IF(E292&lt;&gt;"",E292,IF(F292&lt;&gt;"",-F292,""))),"")</f>
        <v/>
      </c>
      <c r="H292" s="40" t="inlineStr"/>
      <c r="I292" s="40" t="inlineStr"/>
    </row>
    <row r="293" ht="22" customHeight="1">
      <c r="A293" s="43" t="n">
        <v>46312</v>
      </c>
      <c r="B293" s="44" t="inlineStr">
        <is>
          <t>Saturday</t>
        </is>
      </c>
      <c r="C293" s="44" t="inlineStr"/>
      <c r="D293" s="44" t="inlineStr"/>
      <c r="E293" s="65" t="inlineStr"/>
      <c r="F293" s="65" t="inlineStr"/>
      <c r="G293" s="65">
        <f>IFERROR(IF(AND(E293&lt;&gt;"",F293&lt;&gt;""),E293-F293,IF(E293&lt;&gt;"",E293,IF(F293&lt;&gt;"",-F293,""))),"")</f>
        <v/>
      </c>
      <c r="H293" s="44" t="inlineStr"/>
      <c r="I293" s="44" t="inlineStr"/>
    </row>
    <row r="294" ht="22" customHeight="1">
      <c r="A294" s="39" t="n">
        <v>46313</v>
      </c>
      <c r="B294" s="40" t="inlineStr">
        <is>
          <t>Sunday</t>
        </is>
      </c>
      <c r="C294" s="40" t="inlineStr"/>
      <c r="D294" s="40" t="inlineStr"/>
      <c r="E294" s="64" t="inlineStr"/>
      <c r="F294" s="64" t="inlineStr"/>
      <c r="G294" s="64">
        <f>IFERROR(IF(AND(E294&lt;&gt;"",F294&lt;&gt;""),E294-F294,IF(E294&lt;&gt;"",E294,IF(F294&lt;&gt;"",-F294,""))),"")</f>
        <v/>
      </c>
      <c r="H294" s="40" t="inlineStr"/>
      <c r="I294" s="40" t="inlineStr"/>
    </row>
    <row r="295" ht="22" customHeight="1">
      <c r="A295" s="43" t="n">
        <v>46314</v>
      </c>
      <c r="B295" s="44" t="inlineStr">
        <is>
          <t>Monday</t>
        </is>
      </c>
      <c r="C295" s="44" t="inlineStr"/>
      <c r="D295" s="44" t="inlineStr"/>
      <c r="E295" s="65" t="inlineStr"/>
      <c r="F295" s="65" t="inlineStr"/>
      <c r="G295" s="65">
        <f>IFERROR(IF(AND(E295&lt;&gt;"",F295&lt;&gt;""),E295-F295,IF(E295&lt;&gt;"",E295,IF(F295&lt;&gt;"",-F295,""))),"")</f>
        <v/>
      </c>
      <c r="H295" s="44" t="inlineStr"/>
      <c r="I295" s="44" t="inlineStr"/>
    </row>
    <row r="296" ht="22" customHeight="1">
      <c r="A296" s="39" t="n">
        <v>46315</v>
      </c>
      <c r="B296" s="40" t="inlineStr">
        <is>
          <t>Tuesday</t>
        </is>
      </c>
      <c r="C296" s="40" t="inlineStr"/>
      <c r="D296" s="40" t="inlineStr"/>
      <c r="E296" s="64" t="inlineStr"/>
      <c r="F296" s="64" t="inlineStr"/>
      <c r="G296" s="64">
        <f>IFERROR(IF(AND(E296&lt;&gt;"",F296&lt;&gt;""),E296-F296,IF(E296&lt;&gt;"",E296,IF(F296&lt;&gt;"",-F296,""))),"")</f>
        <v/>
      </c>
      <c r="H296" s="40" t="inlineStr"/>
      <c r="I296" s="40" t="inlineStr"/>
    </row>
    <row r="297" ht="22" customHeight="1">
      <c r="A297" s="43" t="n">
        <v>46316</v>
      </c>
      <c r="B297" s="44" t="inlineStr">
        <is>
          <t>Wednesday</t>
        </is>
      </c>
      <c r="C297" s="44" t="inlineStr"/>
      <c r="D297" s="44" t="inlineStr"/>
      <c r="E297" s="65" t="inlineStr"/>
      <c r="F297" s="65" t="inlineStr"/>
      <c r="G297" s="65">
        <f>IFERROR(IF(AND(E297&lt;&gt;"",F297&lt;&gt;""),E297-F297,IF(E297&lt;&gt;"",E297,IF(F297&lt;&gt;"",-F297,""))),"")</f>
        <v/>
      </c>
      <c r="H297" s="44" t="inlineStr"/>
      <c r="I297" s="44" t="inlineStr"/>
    </row>
    <row r="298" ht="22" customHeight="1">
      <c r="A298" s="39" t="n">
        <v>46317</v>
      </c>
      <c r="B298" s="40" t="inlineStr">
        <is>
          <t>Thursday</t>
        </is>
      </c>
      <c r="C298" s="40" t="inlineStr"/>
      <c r="D298" s="40" t="inlineStr"/>
      <c r="E298" s="64" t="inlineStr"/>
      <c r="F298" s="64" t="inlineStr"/>
      <c r="G298" s="64">
        <f>IFERROR(IF(AND(E298&lt;&gt;"",F298&lt;&gt;""),E298-F298,IF(E298&lt;&gt;"",E298,IF(F298&lt;&gt;"",-F298,""))),"")</f>
        <v/>
      </c>
      <c r="H298" s="40" t="inlineStr"/>
      <c r="I298" s="40" t="inlineStr"/>
    </row>
    <row r="299" ht="22" customHeight="1">
      <c r="A299" s="43" t="n">
        <v>46318</v>
      </c>
      <c r="B299" s="44" t="inlineStr">
        <is>
          <t>Friday</t>
        </is>
      </c>
      <c r="C299" s="44" t="inlineStr"/>
      <c r="D299" s="44" t="inlineStr"/>
      <c r="E299" s="65" t="inlineStr"/>
      <c r="F299" s="65" t="inlineStr"/>
      <c r="G299" s="65">
        <f>IFERROR(IF(AND(E299&lt;&gt;"",F299&lt;&gt;""),E299-F299,IF(E299&lt;&gt;"",E299,IF(F299&lt;&gt;"",-F299,""))),"")</f>
        <v/>
      </c>
      <c r="H299" s="44" t="inlineStr"/>
      <c r="I299" s="44" t="inlineStr"/>
    </row>
    <row r="300" ht="22" customHeight="1">
      <c r="A300" s="39" t="n">
        <v>46319</v>
      </c>
      <c r="B300" s="40" t="inlineStr">
        <is>
          <t>Saturday</t>
        </is>
      </c>
      <c r="C300" s="40" t="inlineStr"/>
      <c r="D300" s="40" t="inlineStr"/>
      <c r="E300" s="64" t="inlineStr"/>
      <c r="F300" s="64" t="inlineStr"/>
      <c r="G300" s="64">
        <f>IFERROR(IF(AND(E300&lt;&gt;"",F300&lt;&gt;""),E300-F300,IF(E300&lt;&gt;"",E300,IF(F300&lt;&gt;"",-F300,""))),"")</f>
        <v/>
      </c>
      <c r="H300" s="40" t="inlineStr"/>
      <c r="I300" s="40" t="inlineStr"/>
    </row>
    <row r="301" ht="22" customHeight="1">
      <c r="A301" s="43" t="n">
        <v>46320</v>
      </c>
      <c r="B301" s="44" t="inlineStr">
        <is>
          <t>Sunday</t>
        </is>
      </c>
      <c r="C301" s="44" t="inlineStr"/>
      <c r="D301" s="44" t="inlineStr"/>
      <c r="E301" s="65" t="inlineStr"/>
      <c r="F301" s="65" t="inlineStr"/>
      <c r="G301" s="65">
        <f>IFERROR(IF(AND(E301&lt;&gt;"",F301&lt;&gt;""),E301-F301,IF(E301&lt;&gt;"",E301,IF(F301&lt;&gt;"",-F301,""))),"")</f>
        <v/>
      </c>
      <c r="H301" s="44" t="inlineStr"/>
      <c r="I301" s="44" t="inlineStr"/>
    </row>
    <row r="302" ht="22" customHeight="1">
      <c r="A302" s="39" t="n">
        <v>46321</v>
      </c>
      <c r="B302" s="40" t="inlineStr">
        <is>
          <t>Monday</t>
        </is>
      </c>
      <c r="C302" s="40" t="inlineStr"/>
      <c r="D302" s="40" t="inlineStr"/>
      <c r="E302" s="64" t="inlineStr"/>
      <c r="F302" s="64" t="inlineStr"/>
      <c r="G302" s="64">
        <f>IFERROR(IF(AND(E302&lt;&gt;"",F302&lt;&gt;""),E302-F302,IF(E302&lt;&gt;"",E302,IF(F302&lt;&gt;"",-F302,""))),"")</f>
        <v/>
      </c>
      <c r="H302" s="40" t="inlineStr"/>
      <c r="I302" s="40" t="inlineStr"/>
    </row>
    <row r="303" ht="22" customHeight="1">
      <c r="A303" s="43" t="n">
        <v>46322</v>
      </c>
      <c r="B303" s="44" t="inlineStr">
        <is>
          <t>Tuesday</t>
        </is>
      </c>
      <c r="C303" s="44" t="inlineStr"/>
      <c r="D303" s="44" t="inlineStr"/>
      <c r="E303" s="65" t="inlineStr"/>
      <c r="F303" s="65" t="inlineStr"/>
      <c r="G303" s="65">
        <f>IFERROR(IF(AND(E303&lt;&gt;"",F303&lt;&gt;""),E303-F303,IF(E303&lt;&gt;"",E303,IF(F303&lt;&gt;"",-F303,""))),"")</f>
        <v/>
      </c>
      <c r="H303" s="44" t="inlineStr"/>
      <c r="I303" s="44" t="inlineStr"/>
    </row>
    <row r="304" ht="22" customHeight="1">
      <c r="A304" s="39" t="n">
        <v>46323</v>
      </c>
      <c r="B304" s="40" t="inlineStr">
        <is>
          <t>Wednesday</t>
        </is>
      </c>
      <c r="C304" s="40" t="inlineStr"/>
      <c r="D304" s="40" t="inlineStr"/>
      <c r="E304" s="64" t="inlineStr"/>
      <c r="F304" s="64" t="inlineStr"/>
      <c r="G304" s="64">
        <f>IFERROR(IF(AND(E304&lt;&gt;"",F304&lt;&gt;""),E304-F304,IF(E304&lt;&gt;"",E304,IF(F304&lt;&gt;"",-F304,""))),"")</f>
        <v/>
      </c>
      <c r="H304" s="40" t="inlineStr"/>
      <c r="I304" s="40" t="inlineStr"/>
    </row>
    <row r="305" ht="22" customHeight="1">
      <c r="A305" s="43" t="n">
        <v>46324</v>
      </c>
      <c r="B305" s="44" t="inlineStr">
        <is>
          <t>Thursday</t>
        </is>
      </c>
      <c r="C305" s="44" t="inlineStr"/>
      <c r="D305" s="44" t="inlineStr"/>
      <c r="E305" s="65" t="inlineStr"/>
      <c r="F305" s="65" t="inlineStr"/>
      <c r="G305" s="65">
        <f>IFERROR(IF(AND(E305&lt;&gt;"",F305&lt;&gt;""),E305-F305,IF(E305&lt;&gt;"",E305,IF(F305&lt;&gt;"",-F305,""))),"")</f>
        <v/>
      </c>
      <c r="H305" s="44" t="inlineStr"/>
      <c r="I305" s="44" t="inlineStr"/>
    </row>
    <row r="306" ht="22" customHeight="1">
      <c r="A306" s="39" t="n">
        <v>46325</v>
      </c>
      <c r="B306" s="40" t="inlineStr">
        <is>
          <t>Friday</t>
        </is>
      </c>
      <c r="C306" s="40" t="inlineStr"/>
      <c r="D306" s="40" t="inlineStr"/>
      <c r="E306" s="64" t="inlineStr"/>
      <c r="F306" s="64" t="inlineStr"/>
      <c r="G306" s="64">
        <f>IFERROR(IF(AND(E306&lt;&gt;"",F306&lt;&gt;""),E306-F306,IF(E306&lt;&gt;"",E306,IF(F306&lt;&gt;"",-F306,""))),"")</f>
        <v/>
      </c>
      <c r="H306" s="40" t="inlineStr"/>
      <c r="I306" s="40" t="inlineStr"/>
    </row>
    <row r="307" ht="22" customHeight="1">
      <c r="A307" s="43" t="n">
        <v>46326</v>
      </c>
      <c r="B307" s="44" t="inlineStr">
        <is>
          <t>Saturday</t>
        </is>
      </c>
      <c r="C307" s="44" t="inlineStr"/>
      <c r="D307" s="44" t="inlineStr"/>
      <c r="E307" s="65" t="inlineStr"/>
      <c r="F307" s="65" t="inlineStr"/>
      <c r="G307" s="65">
        <f>IFERROR(IF(AND(E307&lt;&gt;"",F307&lt;&gt;""),E307-F307,IF(E307&lt;&gt;"",E307,IF(F307&lt;&gt;"",-F307,""))),"")</f>
        <v/>
      </c>
      <c r="H307" s="44" t="inlineStr"/>
      <c r="I307" s="44" t="inlineStr"/>
    </row>
    <row r="308" ht="22" customHeight="1">
      <c r="A308" s="39" t="n">
        <v>46327</v>
      </c>
      <c r="B308" s="40" t="inlineStr">
        <is>
          <t>Sunday</t>
        </is>
      </c>
      <c r="C308" s="40" t="inlineStr"/>
      <c r="D308" s="40" t="inlineStr"/>
      <c r="E308" s="64" t="inlineStr"/>
      <c r="F308" s="64" t="inlineStr"/>
      <c r="G308" s="64">
        <f>IFERROR(IF(AND(E308&lt;&gt;"",F308&lt;&gt;""),E308-F308,IF(E308&lt;&gt;"",E308,IF(F308&lt;&gt;"",-F308,""))),"")</f>
        <v/>
      </c>
      <c r="H308" s="40" t="inlineStr"/>
      <c r="I308" s="40" t="inlineStr"/>
    </row>
    <row r="309" ht="22" customHeight="1">
      <c r="A309" s="43" t="n">
        <v>46328</v>
      </c>
      <c r="B309" s="44" t="inlineStr">
        <is>
          <t>Monday</t>
        </is>
      </c>
      <c r="C309" s="44" t="inlineStr"/>
      <c r="D309" s="44" t="inlineStr"/>
      <c r="E309" s="65" t="inlineStr"/>
      <c r="F309" s="65" t="inlineStr"/>
      <c r="G309" s="65">
        <f>IFERROR(IF(AND(E309&lt;&gt;"",F309&lt;&gt;""),E309-F309,IF(E309&lt;&gt;"",E309,IF(F309&lt;&gt;"",-F309,""))),"")</f>
        <v/>
      </c>
      <c r="H309" s="44" t="inlineStr"/>
      <c r="I309" s="44" t="inlineStr"/>
    </row>
    <row r="310" ht="22" customHeight="1">
      <c r="A310" s="39" t="n">
        <v>46329</v>
      </c>
      <c r="B310" s="40" t="inlineStr">
        <is>
          <t>Tuesday</t>
        </is>
      </c>
      <c r="C310" s="40" t="inlineStr"/>
      <c r="D310" s="40" t="inlineStr"/>
      <c r="E310" s="64" t="inlineStr"/>
      <c r="F310" s="64" t="inlineStr"/>
      <c r="G310" s="64">
        <f>IFERROR(IF(AND(E310&lt;&gt;"",F310&lt;&gt;""),E310-F310,IF(E310&lt;&gt;"",E310,IF(F310&lt;&gt;"",-F310,""))),"")</f>
        <v/>
      </c>
      <c r="H310" s="40" t="inlineStr"/>
      <c r="I310" s="40" t="inlineStr"/>
    </row>
    <row r="311" ht="22" customHeight="1">
      <c r="A311" s="43" t="n">
        <v>46330</v>
      </c>
      <c r="B311" s="44" t="inlineStr">
        <is>
          <t>Wednesday</t>
        </is>
      </c>
      <c r="C311" s="44" t="inlineStr"/>
      <c r="D311" s="44" t="inlineStr"/>
      <c r="E311" s="65" t="inlineStr"/>
      <c r="F311" s="65" t="inlineStr"/>
      <c r="G311" s="65">
        <f>IFERROR(IF(AND(E311&lt;&gt;"",F311&lt;&gt;""),E311-F311,IF(E311&lt;&gt;"",E311,IF(F311&lt;&gt;"",-F311,""))),"")</f>
        <v/>
      </c>
      <c r="H311" s="44" t="inlineStr"/>
      <c r="I311" s="44" t="inlineStr"/>
    </row>
    <row r="312" ht="22" customHeight="1">
      <c r="A312" s="39" t="n">
        <v>46331</v>
      </c>
      <c r="B312" s="40" t="inlineStr">
        <is>
          <t>Thursday</t>
        </is>
      </c>
      <c r="C312" s="40" t="inlineStr"/>
      <c r="D312" s="40" t="inlineStr"/>
      <c r="E312" s="64" t="inlineStr"/>
      <c r="F312" s="64" t="inlineStr"/>
      <c r="G312" s="64">
        <f>IFERROR(IF(AND(E312&lt;&gt;"",F312&lt;&gt;""),E312-F312,IF(E312&lt;&gt;"",E312,IF(F312&lt;&gt;"",-F312,""))),"")</f>
        <v/>
      </c>
      <c r="H312" s="40" t="inlineStr"/>
      <c r="I312" s="40" t="inlineStr"/>
    </row>
    <row r="313" ht="22" customHeight="1">
      <c r="A313" s="43" t="n">
        <v>46332</v>
      </c>
      <c r="B313" s="44" t="inlineStr">
        <is>
          <t>Friday</t>
        </is>
      </c>
      <c r="C313" s="44" t="inlineStr"/>
      <c r="D313" s="44" t="inlineStr"/>
      <c r="E313" s="65" t="inlineStr"/>
      <c r="F313" s="65" t="inlineStr"/>
      <c r="G313" s="65">
        <f>IFERROR(IF(AND(E313&lt;&gt;"",F313&lt;&gt;""),E313-F313,IF(E313&lt;&gt;"",E313,IF(F313&lt;&gt;"",-F313,""))),"")</f>
        <v/>
      </c>
      <c r="H313" s="44" t="inlineStr"/>
      <c r="I313" s="44" t="inlineStr"/>
    </row>
    <row r="314" ht="22" customHeight="1">
      <c r="A314" s="39" t="n">
        <v>46333</v>
      </c>
      <c r="B314" s="40" t="inlineStr">
        <is>
          <t>Saturday</t>
        </is>
      </c>
      <c r="C314" s="40" t="inlineStr"/>
      <c r="D314" s="40" t="inlineStr"/>
      <c r="E314" s="64" t="inlineStr"/>
      <c r="F314" s="64" t="inlineStr"/>
      <c r="G314" s="64">
        <f>IFERROR(IF(AND(E314&lt;&gt;"",F314&lt;&gt;""),E314-F314,IF(E314&lt;&gt;"",E314,IF(F314&lt;&gt;"",-F314,""))),"")</f>
        <v/>
      </c>
      <c r="H314" s="40" t="inlineStr"/>
      <c r="I314" s="40" t="inlineStr"/>
    </row>
    <row r="315" ht="22" customHeight="1">
      <c r="A315" s="43" t="n">
        <v>46334</v>
      </c>
      <c r="B315" s="44" t="inlineStr">
        <is>
          <t>Sunday</t>
        </is>
      </c>
      <c r="C315" s="44" t="inlineStr"/>
      <c r="D315" s="44" t="inlineStr"/>
      <c r="E315" s="65" t="inlineStr"/>
      <c r="F315" s="65" t="inlineStr"/>
      <c r="G315" s="65">
        <f>IFERROR(IF(AND(E315&lt;&gt;"",F315&lt;&gt;""),E315-F315,IF(E315&lt;&gt;"",E315,IF(F315&lt;&gt;"",-F315,""))),"")</f>
        <v/>
      </c>
      <c r="H315" s="44" t="inlineStr"/>
      <c r="I315" s="44" t="inlineStr"/>
    </row>
    <row r="316" ht="22" customHeight="1">
      <c r="A316" s="39" t="n">
        <v>46335</v>
      </c>
      <c r="B316" s="40" t="inlineStr">
        <is>
          <t>Monday</t>
        </is>
      </c>
      <c r="C316" s="40" t="inlineStr"/>
      <c r="D316" s="40" t="inlineStr"/>
      <c r="E316" s="64" t="inlineStr"/>
      <c r="F316" s="64" t="inlineStr"/>
      <c r="G316" s="64">
        <f>IFERROR(IF(AND(E316&lt;&gt;"",F316&lt;&gt;""),E316-F316,IF(E316&lt;&gt;"",E316,IF(F316&lt;&gt;"",-F316,""))),"")</f>
        <v/>
      </c>
      <c r="H316" s="40" t="inlineStr"/>
      <c r="I316" s="40" t="inlineStr"/>
    </row>
    <row r="317" ht="22" customHeight="1">
      <c r="A317" s="43" t="n">
        <v>46336</v>
      </c>
      <c r="B317" s="44" t="inlineStr">
        <is>
          <t>Tuesday</t>
        </is>
      </c>
      <c r="C317" s="44" t="inlineStr"/>
      <c r="D317" s="44" t="inlineStr"/>
      <c r="E317" s="65" t="inlineStr"/>
      <c r="F317" s="65" t="inlineStr"/>
      <c r="G317" s="65">
        <f>IFERROR(IF(AND(E317&lt;&gt;"",F317&lt;&gt;""),E317-F317,IF(E317&lt;&gt;"",E317,IF(F317&lt;&gt;"",-F317,""))),"")</f>
        <v/>
      </c>
      <c r="H317" s="44" t="inlineStr"/>
      <c r="I317" s="44" t="inlineStr"/>
    </row>
    <row r="318" ht="22" customHeight="1">
      <c r="A318" s="39" t="n">
        <v>46337</v>
      </c>
      <c r="B318" s="40" t="inlineStr">
        <is>
          <t>Wednesday</t>
        </is>
      </c>
      <c r="C318" s="40" t="inlineStr"/>
      <c r="D318" s="40" t="inlineStr"/>
      <c r="E318" s="64" t="inlineStr"/>
      <c r="F318" s="64" t="inlineStr"/>
      <c r="G318" s="64">
        <f>IFERROR(IF(AND(E318&lt;&gt;"",F318&lt;&gt;""),E318-F318,IF(E318&lt;&gt;"",E318,IF(F318&lt;&gt;"",-F318,""))),"")</f>
        <v/>
      </c>
      <c r="H318" s="40" t="inlineStr"/>
      <c r="I318" s="40" t="inlineStr"/>
    </row>
    <row r="319" ht="22" customHeight="1">
      <c r="A319" s="43" t="n">
        <v>46338</v>
      </c>
      <c r="B319" s="44" t="inlineStr">
        <is>
          <t>Thursday</t>
        </is>
      </c>
      <c r="C319" s="44" t="inlineStr"/>
      <c r="D319" s="44" t="inlineStr"/>
      <c r="E319" s="65" t="inlineStr"/>
      <c r="F319" s="65" t="inlineStr"/>
      <c r="G319" s="65">
        <f>IFERROR(IF(AND(E319&lt;&gt;"",F319&lt;&gt;""),E319-F319,IF(E319&lt;&gt;"",E319,IF(F319&lt;&gt;"",-F319,""))),"")</f>
        <v/>
      </c>
      <c r="H319" s="44" t="inlineStr"/>
      <c r="I319" s="44" t="inlineStr"/>
    </row>
    <row r="320" ht="22" customHeight="1">
      <c r="A320" s="39" t="n">
        <v>46339</v>
      </c>
      <c r="B320" s="40" t="inlineStr">
        <is>
          <t>Friday</t>
        </is>
      </c>
      <c r="C320" s="40" t="inlineStr"/>
      <c r="D320" s="40" t="inlineStr"/>
      <c r="E320" s="64" t="inlineStr"/>
      <c r="F320" s="64" t="inlineStr"/>
      <c r="G320" s="64">
        <f>IFERROR(IF(AND(E320&lt;&gt;"",F320&lt;&gt;""),E320-F320,IF(E320&lt;&gt;"",E320,IF(F320&lt;&gt;"",-F320,""))),"")</f>
        <v/>
      </c>
      <c r="H320" s="40" t="inlineStr"/>
      <c r="I320" s="40" t="inlineStr"/>
    </row>
    <row r="321" ht="22" customHeight="1">
      <c r="A321" s="43" t="n">
        <v>46340</v>
      </c>
      <c r="B321" s="44" t="inlineStr">
        <is>
          <t>Saturday</t>
        </is>
      </c>
      <c r="C321" s="44" t="inlineStr"/>
      <c r="D321" s="44" t="inlineStr"/>
      <c r="E321" s="65" t="inlineStr"/>
      <c r="F321" s="65" t="inlineStr"/>
      <c r="G321" s="65">
        <f>IFERROR(IF(AND(E321&lt;&gt;"",F321&lt;&gt;""),E321-F321,IF(E321&lt;&gt;"",E321,IF(F321&lt;&gt;"",-F321,""))),"")</f>
        <v/>
      </c>
      <c r="H321" s="44" t="inlineStr"/>
      <c r="I321" s="44" t="inlineStr"/>
    </row>
    <row r="322" ht="22" customHeight="1">
      <c r="A322" s="39" t="n">
        <v>46341</v>
      </c>
      <c r="B322" s="40" t="inlineStr">
        <is>
          <t>Sunday</t>
        </is>
      </c>
      <c r="C322" s="40" t="inlineStr"/>
      <c r="D322" s="40" t="inlineStr"/>
      <c r="E322" s="64" t="inlineStr"/>
      <c r="F322" s="64" t="inlineStr"/>
      <c r="G322" s="64">
        <f>IFERROR(IF(AND(E322&lt;&gt;"",F322&lt;&gt;""),E322-F322,IF(E322&lt;&gt;"",E322,IF(F322&lt;&gt;"",-F322,""))),"")</f>
        <v/>
      </c>
      <c r="H322" s="40" t="inlineStr"/>
      <c r="I322" s="40" t="inlineStr"/>
    </row>
    <row r="323" ht="22" customHeight="1">
      <c r="A323" s="43" t="n">
        <v>46342</v>
      </c>
      <c r="B323" s="44" t="inlineStr">
        <is>
          <t>Monday</t>
        </is>
      </c>
      <c r="C323" s="44" t="inlineStr"/>
      <c r="D323" s="44" t="inlineStr"/>
      <c r="E323" s="65" t="inlineStr"/>
      <c r="F323" s="65" t="inlineStr"/>
      <c r="G323" s="65">
        <f>IFERROR(IF(AND(E323&lt;&gt;"",F323&lt;&gt;""),E323-F323,IF(E323&lt;&gt;"",E323,IF(F323&lt;&gt;"",-F323,""))),"")</f>
        <v/>
      </c>
      <c r="H323" s="44" t="inlineStr"/>
      <c r="I323" s="44" t="inlineStr"/>
    </row>
    <row r="324" ht="22" customHeight="1">
      <c r="A324" s="39" t="n">
        <v>46343</v>
      </c>
      <c r="B324" s="40" t="inlineStr">
        <is>
          <t>Tuesday</t>
        </is>
      </c>
      <c r="C324" s="40" t="inlineStr"/>
      <c r="D324" s="40" t="inlineStr"/>
      <c r="E324" s="64" t="inlineStr"/>
      <c r="F324" s="64" t="inlineStr"/>
      <c r="G324" s="64">
        <f>IFERROR(IF(AND(E324&lt;&gt;"",F324&lt;&gt;""),E324-F324,IF(E324&lt;&gt;"",E324,IF(F324&lt;&gt;"",-F324,""))),"")</f>
        <v/>
      </c>
      <c r="H324" s="40" t="inlineStr"/>
      <c r="I324" s="40" t="inlineStr"/>
    </row>
    <row r="325" ht="22" customHeight="1">
      <c r="A325" s="43" t="n">
        <v>46344</v>
      </c>
      <c r="B325" s="44" t="inlineStr">
        <is>
          <t>Wednesday</t>
        </is>
      </c>
      <c r="C325" s="44" t="inlineStr"/>
      <c r="D325" s="44" t="inlineStr"/>
      <c r="E325" s="65" t="inlineStr"/>
      <c r="F325" s="65" t="inlineStr"/>
      <c r="G325" s="65">
        <f>IFERROR(IF(AND(E325&lt;&gt;"",F325&lt;&gt;""),E325-F325,IF(E325&lt;&gt;"",E325,IF(F325&lt;&gt;"",-F325,""))),"")</f>
        <v/>
      </c>
      <c r="H325" s="44" t="inlineStr"/>
      <c r="I325" s="44" t="inlineStr"/>
    </row>
    <row r="326" ht="22" customHeight="1">
      <c r="A326" s="39" t="n">
        <v>46345</v>
      </c>
      <c r="B326" s="40" t="inlineStr">
        <is>
          <t>Thursday</t>
        </is>
      </c>
      <c r="C326" s="40" t="inlineStr"/>
      <c r="D326" s="40" t="inlineStr"/>
      <c r="E326" s="64" t="inlineStr"/>
      <c r="F326" s="64" t="inlineStr"/>
      <c r="G326" s="64">
        <f>IFERROR(IF(AND(E326&lt;&gt;"",F326&lt;&gt;""),E326-F326,IF(E326&lt;&gt;"",E326,IF(F326&lt;&gt;"",-F326,""))),"")</f>
        <v/>
      </c>
      <c r="H326" s="40" t="inlineStr"/>
      <c r="I326" s="40" t="inlineStr"/>
    </row>
    <row r="327" ht="22" customHeight="1">
      <c r="A327" s="43" t="n">
        <v>46346</v>
      </c>
      <c r="B327" s="44" t="inlineStr">
        <is>
          <t>Friday</t>
        </is>
      </c>
      <c r="C327" s="44" t="inlineStr"/>
      <c r="D327" s="44" t="inlineStr"/>
      <c r="E327" s="65" t="inlineStr"/>
      <c r="F327" s="65" t="inlineStr"/>
      <c r="G327" s="65">
        <f>IFERROR(IF(AND(E327&lt;&gt;"",F327&lt;&gt;""),E327-F327,IF(E327&lt;&gt;"",E327,IF(F327&lt;&gt;"",-F327,""))),"")</f>
        <v/>
      </c>
      <c r="H327" s="44" t="inlineStr"/>
      <c r="I327" s="44" t="inlineStr"/>
    </row>
    <row r="328" ht="22" customHeight="1">
      <c r="A328" s="39" t="n">
        <v>46347</v>
      </c>
      <c r="B328" s="40" t="inlineStr">
        <is>
          <t>Saturday</t>
        </is>
      </c>
      <c r="C328" s="40" t="inlineStr"/>
      <c r="D328" s="40" t="inlineStr"/>
      <c r="E328" s="64" t="inlineStr"/>
      <c r="F328" s="64" t="inlineStr"/>
      <c r="G328" s="64">
        <f>IFERROR(IF(AND(E328&lt;&gt;"",F328&lt;&gt;""),E328-F328,IF(E328&lt;&gt;"",E328,IF(F328&lt;&gt;"",-F328,""))),"")</f>
        <v/>
      </c>
      <c r="H328" s="40" t="inlineStr"/>
      <c r="I328" s="40" t="inlineStr"/>
    </row>
    <row r="329" ht="22" customHeight="1">
      <c r="A329" s="43" t="n">
        <v>46348</v>
      </c>
      <c r="B329" s="44" t="inlineStr">
        <is>
          <t>Sunday</t>
        </is>
      </c>
      <c r="C329" s="44" t="inlineStr"/>
      <c r="D329" s="44" t="inlineStr"/>
      <c r="E329" s="65" t="inlineStr"/>
      <c r="F329" s="65" t="inlineStr"/>
      <c r="G329" s="65">
        <f>IFERROR(IF(AND(E329&lt;&gt;"",F329&lt;&gt;""),E329-F329,IF(E329&lt;&gt;"",E329,IF(F329&lt;&gt;"",-F329,""))),"")</f>
        <v/>
      </c>
      <c r="H329" s="44" t="inlineStr"/>
      <c r="I329" s="44" t="inlineStr"/>
    </row>
    <row r="330" ht="22" customHeight="1">
      <c r="A330" s="39" t="n">
        <v>46349</v>
      </c>
      <c r="B330" s="40" t="inlineStr">
        <is>
          <t>Monday</t>
        </is>
      </c>
      <c r="C330" s="40" t="inlineStr"/>
      <c r="D330" s="40" t="inlineStr"/>
      <c r="E330" s="64" t="inlineStr"/>
      <c r="F330" s="64" t="inlineStr"/>
      <c r="G330" s="64">
        <f>IFERROR(IF(AND(E330&lt;&gt;"",F330&lt;&gt;""),E330-F330,IF(E330&lt;&gt;"",E330,IF(F330&lt;&gt;"",-F330,""))),"")</f>
        <v/>
      </c>
      <c r="H330" s="40" t="inlineStr"/>
      <c r="I330" s="40" t="inlineStr"/>
    </row>
    <row r="331" ht="22" customHeight="1">
      <c r="A331" s="43" t="n">
        <v>46350</v>
      </c>
      <c r="B331" s="44" t="inlineStr">
        <is>
          <t>Tuesday</t>
        </is>
      </c>
      <c r="C331" s="44" t="inlineStr"/>
      <c r="D331" s="44" t="inlineStr"/>
      <c r="E331" s="65" t="inlineStr"/>
      <c r="F331" s="65" t="inlineStr"/>
      <c r="G331" s="65">
        <f>IFERROR(IF(AND(E331&lt;&gt;"",F331&lt;&gt;""),E331-F331,IF(E331&lt;&gt;"",E331,IF(F331&lt;&gt;"",-F331,""))),"")</f>
        <v/>
      </c>
      <c r="H331" s="44" t="inlineStr"/>
      <c r="I331" s="44" t="inlineStr"/>
    </row>
    <row r="332" ht="22" customHeight="1">
      <c r="A332" s="39" t="n">
        <v>46351</v>
      </c>
      <c r="B332" s="40" t="inlineStr">
        <is>
          <t>Wednesday</t>
        </is>
      </c>
      <c r="C332" s="40" t="inlineStr"/>
      <c r="D332" s="40" t="inlineStr"/>
      <c r="E332" s="64" t="inlineStr"/>
      <c r="F332" s="64" t="inlineStr"/>
      <c r="G332" s="64">
        <f>IFERROR(IF(AND(E332&lt;&gt;"",F332&lt;&gt;""),E332-F332,IF(E332&lt;&gt;"",E332,IF(F332&lt;&gt;"",-F332,""))),"")</f>
        <v/>
      </c>
      <c r="H332" s="40" t="inlineStr"/>
      <c r="I332" s="40" t="inlineStr"/>
    </row>
    <row r="333" ht="22" customHeight="1">
      <c r="A333" s="43" t="n">
        <v>46352</v>
      </c>
      <c r="B333" s="44" t="inlineStr">
        <is>
          <t>Thursday</t>
        </is>
      </c>
      <c r="C333" s="44" t="inlineStr"/>
      <c r="D333" s="44" t="inlineStr"/>
      <c r="E333" s="65" t="inlineStr"/>
      <c r="F333" s="65" t="inlineStr"/>
      <c r="G333" s="65">
        <f>IFERROR(IF(AND(E333&lt;&gt;"",F333&lt;&gt;""),E333-F333,IF(E333&lt;&gt;"",E333,IF(F333&lt;&gt;"",-F333,""))),"")</f>
        <v/>
      </c>
      <c r="H333" s="44" t="inlineStr"/>
      <c r="I333" s="44" t="inlineStr"/>
    </row>
    <row r="334" ht="22" customHeight="1">
      <c r="A334" s="39" t="n">
        <v>46353</v>
      </c>
      <c r="B334" s="40" t="inlineStr">
        <is>
          <t>Friday</t>
        </is>
      </c>
      <c r="C334" s="40" t="inlineStr"/>
      <c r="D334" s="40" t="inlineStr"/>
      <c r="E334" s="64" t="inlineStr"/>
      <c r="F334" s="64" t="inlineStr"/>
      <c r="G334" s="64">
        <f>IFERROR(IF(AND(E334&lt;&gt;"",F334&lt;&gt;""),E334-F334,IF(E334&lt;&gt;"",E334,IF(F334&lt;&gt;"",-F334,""))),"")</f>
        <v/>
      </c>
      <c r="H334" s="40" t="inlineStr"/>
      <c r="I334" s="40" t="inlineStr"/>
    </row>
    <row r="335" ht="22" customHeight="1">
      <c r="A335" s="43" t="n">
        <v>46354</v>
      </c>
      <c r="B335" s="44" t="inlineStr">
        <is>
          <t>Saturday</t>
        </is>
      </c>
      <c r="C335" s="44" t="inlineStr"/>
      <c r="D335" s="44" t="inlineStr"/>
      <c r="E335" s="65" t="inlineStr"/>
      <c r="F335" s="65" t="inlineStr"/>
      <c r="G335" s="65">
        <f>IFERROR(IF(AND(E335&lt;&gt;"",F335&lt;&gt;""),E335-F335,IF(E335&lt;&gt;"",E335,IF(F335&lt;&gt;"",-F335,""))),"")</f>
        <v/>
      </c>
      <c r="H335" s="44" t="inlineStr"/>
      <c r="I335" s="44" t="inlineStr"/>
    </row>
    <row r="336" ht="22" customHeight="1">
      <c r="A336" s="39" t="n">
        <v>46355</v>
      </c>
      <c r="B336" s="40" t="inlineStr">
        <is>
          <t>Sunday</t>
        </is>
      </c>
      <c r="C336" s="40" t="inlineStr"/>
      <c r="D336" s="40" t="inlineStr"/>
      <c r="E336" s="64" t="inlineStr"/>
      <c r="F336" s="64" t="inlineStr"/>
      <c r="G336" s="64">
        <f>IFERROR(IF(AND(E336&lt;&gt;"",F336&lt;&gt;""),E336-F336,IF(E336&lt;&gt;"",E336,IF(F336&lt;&gt;"",-F336,""))),"")</f>
        <v/>
      </c>
      <c r="H336" s="40" t="inlineStr"/>
      <c r="I336" s="40" t="inlineStr"/>
    </row>
    <row r="337" ht="22" customHeight="1">
      <c r="A337" s="43" t="n">
        <v>46356</v>
      </c>
      <c r="B337" s="44" t="inlineStr">
        <is>
          <t>Monday</t>
        </is>
      </c>
      <c r="C337" s="44" t="inlineStr"/>
      <c r="D337" s="44" t="inlineStr"/>
      <c r="E337" s="65" t="inlineStr"/>
      <c r="F337" s="65" t="inlineStr"/>
      <c r="G337" s="65">
        <f>IFERROR(IF(AND(E337&lt;&gt;"",F337&lt;&gt;""),E337-F337,IF(E337&lt;&gt;"",E337,IF(F337&lt;&gt;"",-F337,""))),"")</f>
        <v/>
      </c>
      <c r="H337" s="44" t="inlineStr"/>
      <c r="I337" s="44" t="inlineStr"/>
    </row>
    <row r="338" ht="22" customHeight="1">
      <c r="A338" s="39" t="n">
        <v>46357</v>
      </c>
      <c r="B338" s="40" t="inlineStr">
        <is>
          <t>Tuesday</t>
        </is>
      </c>
      <c r="C338" s="40" t="inlineStr"/>
      <c r="D338" s="40" t="inlineStr"/>
      <c r="E338" s="64" t="inlineStr"/>
      <c r="F338" s="64" t="inlineStr"/>
      <c r="G338" s="64">
        <f>IFERROR(IF(AND(E338&lt;&gt;"",F338&lt;&gt;""),E338-F338,IF(E338&lt;&gt;"",E338,IF(F338&lt;&gt;"",-F338,""))),"")</f>
        <v/>
      </c>
      <c r="H338" s="40" t="inlineStr"/>
      <c r="I338" s="40" t="inlineStr"/>
    </row>
    <row r="339" ht="22" customHeight="1">
      <c r="A339" s="43" t="n">
        <v>46358</v>
      </c>
      <c r="B339" s="44" t="inlineStr">
        <is>
          <t>Wednesday</t>
        </is>
      </c>
      <c r="C339" s="44" t="inlineStr"/>
      <c r="D339" s="44" t="inlineStr"/>
      <c r="E339" s="65" t="inlineStr"/>
      <c r="F339" s="65" t="inlineStr"/>
      <c r="G339" s="65">
        <f>IFERROR(IF(AND(E339&lt;&gt;"",F339&lt;&gt;""),E339-F339,IF(E339&lt;&gt;"",E339,IF(F339&lt;&gt;"",-F339,""))),"")</f>
        <v/>
      </c>
      <c r="H339" s="44" t="inlineStr"/>
      <c r="I339" s="44" t="inlineStr"/>
    </row>
    <row r="340" ht="22" customHeight="1">
      <c r="A340" s="39" t="n">
        <v>46359</v>
      </c>
      <c r="B340" s="40" t="inlineStr">
        <is>
          <t>Thursday</t>
        </is>
      </c>
      <c r="C340" s="40" t="inlineStr"/>
      <c r="D340" s="40" t="inlineStr"/>
      <c r="E340" s="64" t="inlineStr"/>
      <c r="F340" s="64" t="inlineStr"/>
      <c r="G340" s="64">
        <f>IFERROR(IF(AND(E340&lt;&gt;"",F340&lt;&gt;""),E340-F340,IF(E340&lt;&gt;"",E340,IF(F340&lt;&gt;"",-F340,""))),"")</f>
        <v/>
      </c>
      <c r="H340" s="40" t="inlineStr"/>
      <c r="I340" s="40" t="inlineStr"/>
    </row>
    <row r="341" ht="22" customHeight="1">
      <c r="A341" s="43" t="n">
        <v>46360</v>
      </c>
      <c r="B341" s="44" t="inlineStr">
        <is>
          <t>Friday</t>
        </is>
      </c>
      <c r="C341" s="44" t="inlineStr"/>
      <c r="D341" s="44" t="inlineStr"/>
      <c r="E341" s="65" t="inlineStr"/>
      <c r="F341" s="65" t="inlineStr"/>
      <c r="G341" s="65">
        <f>IFERROR(IF(AND(E341&lt;&gt;"",F341&lt;&gt;""),E341-F341,IF(E341&lt;&gt;"",E341,IF(F341&lt;&gt;"",-F341,""))),"")</f>
        <v/>
      </c>
      <c r="H341" s="44" t="inlineStr"/>
      <c r="I341" s="44" t="inlineStr"/>
    </row>
    <row r="342" ht="22" customHeight="1">
      <c r="A342" s="39" t="n">
        <v>46361</v>
      </c>
      <c r="B342" s="40" t="inlineStr">
        <is>
          <t>Saturday</t>
        </is>
      </c>
      <c r="C342" s="40" t="inlineStr"/>
      <c r="D342" s="40" t="inlineStr"/>
      <c r="E342" s="64" t="inlineStr"/>
      <c r="F342" s="64" t="inlineStr"/>
      <c r="G342" s="64">
        <f>IFERROR(IF(AND(E342&lt;&gt;"",F342&lt;&gt;""),E342-F342,IF(E342&lt;&gt;"",E342,IF(F342&lt;&gt;"",-F342,""))),"")</f>
        <v/>
      </c>
      <c r="H342" s="40" t="inlineStr"/>
      <c r="I342" s="40" t="inlineStr"/>
    </row>
    <row r="343" ht="22" customHeight="1">
      <c r="A343" s="43" t="n">
        <v>46362</v>
      </c>
      <c r="B343" s="44" t="inlineStr">
        <is>
          <t>Sunday</t>
        </is>
      </c>
      <c r="C343" s="44" t="inlineStr"/>
      <c r="D343" s="44" t="inlineStr"/>
      <c r="E343" s="65" t="inlineStr"/>
      <c r="F343" s="65" t="inlineStr"/>
      <c r="G343" s="65">
        <f>IFERROR(IF(AND(E343&lt;&gt;"",F343&lt;&gt;""),E343-F343,IF(E343&lt;&gt;"",E343,IF(F343&lt;&gt;"",-F343,""))),"")</f>
        <v/>
      </c>
      <c r="H343" s="44" t="inlineStr"/>
      <c r="I343" s="44" t="inlineStr"/>
    </row>
    <row r="344" ht="22" customHeight="1">
      <c r="A344" s="39" t="n">
        <v>46363</v>
      </c>
      <c r="B344" s="40" t="inlineStr">
        <is>
          <t>Monday</t>
        </is>
      </c>
      <c r="C344" s="40" t="inlineStr"/>
      <c r="D344" s="40" t="inlineStr"/>
      <c r="E344" s="64" t="inlineStr"/>
      <c r="F344" s="64" t="inlineStr"/>
      <c r="G344" s="64">
        <f>IFERROR(IF(AND(E344&lt;&gt;"",F344&lt;&gt;""),E344-F344,IF(E344&lt;&gt;"",E344,IF(F344&lt;&gt;"",-F344,""))),"")</f>
        <v/>
      </c>
      <c r="H344" s="40" t="inlineStr"/>
      <c r="I344" s="40" t="inlineStr"/>
    </row>
    <row r="345" ht="22" customHeight="1">
      <c r="A345" s="43" t="n">
        <v>46364</v>
      </c>
      <c r="B345" s="44" t="inlineStr">
        <is>
          <t>Tuesday</t>
        </is>
      </c>
      <c r="C345" s="44" t="inlineStr"/>
      <c r="D345" s="44" t="inlineStr"/>
      <c r="E345" s="65" t="inlineStr"/>
      <c r="F345" s="65" t="inlineStr"/>
      <c r="G345" s="65">
        <f>IFERROR(IF(AND(E345&lt;&gt;"",F345&lt;&gt;""),E345-F345,IF(E345&lt;&gt;"",E345,IF(F345&lt;&gt;"",-F345,""))),"")</f>
        <v/>
      </c>
      <c r="H345" s="44" t="inlineStr"/>
      <c r="I345" s="44" t="inlineStr"/>
    </row>
    <row r="346" ht="22" customHeight="1">
      <c r="A346" s="39" t="n">
        <v>46365</v>
      </c>
      <c r="B346" s="40" t="inlineStr">
        <is>
          <t>Wednesday</t>
        </is>
      </c>
      <c r="C346" s="40" t="inlineStr"/>
      <c r="D346" s="40" t="inlineStr"/>
      <c r="E346" s="64" t="inlineStr"/>
      <c r="F346" s="64" t="inlineStr"/>
      <c r="G346" s="64">
        <f>IFERROR(IF(AND(E346&lt;&gt;"",F346&lt;&gt;""),E346-F346,IF(E346&lt;&gt;"",E346,IF(F346&lt;&gt;"",-F346,""))),"")</f>
        <v/>
      </c>
      <c r="H346" s="40" t="inlineStr"/>
      <c r="I346" s="40" t="inlineStr"/>
    </row>
    <row r="347" ht="22" customHeight="1">
      <c r="A347" s="43" t="n">
        <v>46366</v>
      </c>
      <c r="B347" s="44" t="inlineStr">
        <is>
          <t>Thursday</t>
        </is>
      </c>
      <c r="C347" s="44" t="inlineStr"/>
      <c r="D347" s="44" t="inlineStr"/>
      <c r="E347" s="65" t="inlineStr"/>
      <c r="F347" s="65" t="inlineStr"/>
      <c r="G347" s="65">
        <f>IFERROR(IF(AND(E347&lt;&gt;"",F347&lt;&gt;""),E347-F347,IF(E347&lt;&gt;"",E347,IF(F347&lt;&gt;"",-F347,""))),"")</f>
        <v/>
      </c>
      <c r="H347" s="44" t="inlineStr"/>
      <c r="I347" s="44" t="inlineStr"/>
    </row>
    <row r="348" ht="22" customHeight="1">
      <c r="A348" s="39" t="n">
        <v>46367</v>
      </c>
      <c r="B348" s="40" t="inlineStr">
        <is>
          <t>Friday</t>
        </is>
      </c>
      <c r="C348" s="40" t="inlineStr"/>
      <c r="D348" s="40" t="inlineStr"/>
      <c r="E348" s="64" t="inlineStr"/>
      <c r="F348" s="64" t="inlineStr"/>
      <c r="G348" s="64">
        <f>IFERROR(IF(AND(E348&lt;&gt;"",F348&lt;&gt;""),E348-F348,IF(E348&lt;&gt;"",E348,IF(F348&lt;&gt;"",-F348,""))),"")</f>
        <v/>
      </c>
      <c r="H348" s="40" t="inlineStr"/>
      <c r="I348" s="40" t="inlineStr"/>
    </row>
    <row r="349" ht="22" customHeight="1">
      <c r="A349" s="43" t="n">
        <v>46368</v>
      </c>
      <c r="B349" s="44" t="inlineStr">
        <is>
          <t>Saturday</t>
        </is>
      </c>
      <c r="C349" s="44" t="inlineStr"/>
      <c r="D349" s="44" t="inlineStr"/>
      <c r="E349" s="65" t="inlineStr"/>
      <c r="F349" s="65" t="inlineStr"/>
      <c r="G349" s="65">
        <f>IFERROR(IF(AND(E349&lt;&gt;"",F349&lt;&gt;""),E349-F349,IF(E349&lt;&gt;"",E349,IF(F349&lt;&gt;"",-F349,""))),"")</f>
        <v/>
      </c>
      <c r="H349" s="44" t="inlineStr"/>
      <c r="I349" s="44" t="inlineStr"/>
    </row>
    <row r="350" ht="22" customHeight="1">
      <c r="A350" s="39" t="n">
        <v>46369</v>
      </c>
      <c r="B350" s="40" t="inlineStr">
        <is>
          <t>Sunday</t>
        </is>
      </c>
      <c r="C350" s="40" t="inlineStr"/>
      <c r="D350" s="40" t="inlineStr"/>
      <c r="E350" s="64" t="inlineStr"/>
      <c r="F350" s="64" t="inlineStr"/>
      <c r="G350" s="64">
        <f>IFERROR(IF(AND(E350&lt;&gt;"",F350&lt;&gt;""),E350-F350,IF(E350&lt;&gt;"",E350,IF(F350&lt;&gt;"",-F350,""))),"")</f>
        <v/>
      </c>
      <c r="H350" s="40" t="inlineStr"/>
      <c r="I350" s="40" t="inlineStr"/>
    </row>
    <row r="351" ht="22" customHeight="1">
      <c r="A351" s="43" t="n">
        <v>46370</v>
      </c>
      <c r="B351" s="44" t="inlineStr">
        <is>
          <t>Monday</t>
        </is>
      </c>
      <c r="C351" s="44" t="inlineStr"/>
      <c r="D351" s="44" t="inlineStr"/>
      <c r="E351" s="65" t="inlineStr"/>
      <c r="F351" s="65" t="inlineStr"/>
      <c r="G351" s="65">
        <f>IFERROR(IF(AND(E351&lt;&gt;"",F351&lt;&gt;""),E351-F351,IF(E351&lt;&gt;"",E351,IF(F351&lt;&gt;"",-F351,""))),"")</f>
        <v/>
      </c>
      <c r="H351" s="44" t="inlineStr"/>
      <c r="I351" s="44" t="inlineStr"/>
    </row>
    <row r="352" ht="22" customHeight="1">
      <c r="A352" s="39" t="n">
        <v>46371</v>
      </c>
      <c r="B352" s="40" t="inlineStr">
        <is>
          <t>Tuesday</t>
        </is>
      </c>
      <c r="C352" s="40" t="inlineStr"/>
      <c r="D352" s="40" t="inlineStr"/>
      <c r="E352" s="64" t="inlineStr"/>
      <c r="F352" s="64" t="inlineStr"/>
      <c r="G352" s="64">
        <f>IFERROR(IF(AND(E352&lt;&gt;"",F352&lt;&gt;""),E352-F352,IF(E352&lt;&gt;"",E352,IF(F352&lt;&gt;"",-F352,""))),"")</f>
        <v/>
      </c>
      <c r="H352" s="40" t="inlineStr"/>
      <c r="I352" s="40" t="inlineStr"/>
    </row>
    <row r="353" ht="22" customHeight="1">
      <c r="A353" s="43" t="n">
        <v>46372</v>
      </c>
      <c r="B353" s="44" t="inlineStr">
        <is>
          <t>Wednesday</t>
        </is>
      </c>
      <c r="C353" s="44" t="inlineStr"/>
      <c r="D353" s="44" t="inlineStr"/>
      <c r="E353" s="65" t="inlineStr"/>
      <c r="F353" s="65" t="inlineStr"/>
      <c r="G353" s="65">
        <f>IFERROR(IF(AND(E353&lt;&gt;"",F353&lt;&gt;""),E353-F353,IF(E353&lt;&gt;"",E353,IF(F353&lt;&gt;"",-F353,""))),"")</f>
        <v/>
      </c>
      <c r="H353" s="44" t="inlineStr"/>
      <c r="I353" s="44" t="inlineStr"/>
    </row>
    <row r="354" ht="22" customHeight="1">
      <c r="A354" s="39" t="n">
        <v>46373</v>
      </c>
      <c r="B354" s="40" t="inlineStr">
        <is>
          <t>Thursday</t>
        </is>
      </c>
      <c r="C354" s="40" t="inlineStr"/>
      <c r="D354" s="40" t="inlineStr"/>
      <c r="E354" s="64" t="inlineStr"/>
      <c r="F354" s="64" t="inlineStr"/>
      <c r="G354" s="64">
        <f>IFERROR(IF(AND(E354&lt;&gt;"",F354&lt;&gt;""),E354-F354,IF(E354&lt;&gt;"",E354,IF(F354&lt;&gt;"",-F354,""))),"")</f>
        <v/>
      </c>
      <c r="H354" s="40" t="inlineStr"/>
      <c r="I354" s="40" t="inlineStr"/>
    </row>
    <row r="355" ht="22" customHeight="1">
      <c r="A355" s="43" t="n">
        <v>46374</v>
      </c>
      <c r="B355" s="44" t="inlineStr">
        <is>
          <t>Friday</t>
        </is>
      </c>
      <c r="C355" s="44" t="inlineStr"/>
      <c r="D355" s="44" t="inlineStr"/>
      <c r="E355" s="65" t="inlineStr"/>
      <c r="F355" s="65" t="inlineStr"/>
      <c r="G355" s="65">
        <f>IFERROR(IF(AND(E355&lt;&gt;"",F355&lt;&gt;""),E355-F355,IF(E355&lt;&gt;"",E355,IF(F355&lt;&gt;"",-F355,""))),"")</f>
        <v/>
      </c>
      <c r="H355" s="44" t="inlineStr"/>
      <c r="I355" s="44" t="inlineStr"/>
    </row>
    <row r="356" ht="22" customHeight="1">
      <c r="A356" s="39" t="n">
        <v>46375</v>
      </c>
      <c r="B356" s="40" t="inlineStr">
        <is>
          <t>Saturday</t>
        </is>
      </c>
      <c r="C356" s="40" t="inlineStr"/>
      <c r="D356" s="40" t="inlineStr"/>
      <c r="E356" s="64" t="inlineStr"/>
      <c r="F356" s="64" t="inlineStr"/>
      <c r="G356" s="64">
        <f>IFERROR(IF(AND(E356&lt;&gt;"",F356&lt;&gt;""),E356-F356,IF(E356&lt;&gt;"",E356,IF(F356&lt;&gt;"",-F356,""))),"")</f>
        <v/>
      </c>
      <c r="H356" s="40" t="inlineStr"/>
      <c r="I356" s="40" t="inlineStr"/>
    </row>
    <row r="357" ht="22" customHeight="1">
      <c r="A357" s="43" t="n">
        <v>46376</v>
      </c>
      <c r="B357" s="44" t="inlineStr">
        <is>
          <t>Sunday</t>
        </is>
      </c>
      <c r="C357" s="44" t="inlineStr"/>
      <c r="D357" s="44" t="inlineStr"/>
      <c r="E357" s="65" t="inlineStr"/>
      <c r="F357" s="65" t="inlineStr"/>
      <c r="G357" s="65">
        <f>IFERROR(IF(AND(E357&lt;&gt;"",F357&lt;&gt;""),E357-F357,IF(E357&lt;&gt;"",E357,IF(F357&lt;&gt;"",-F357,""))),"")</f>
        <v/>
      </c>
      <c r="H357" s="44" t="inlineStr"/>
      <c r="I357" s="44" t="inlineStr"/>
    </row>
    <row r="358" ht="22" customHeight="1">
      <c r="A358" s="39" t="n">
        <v>46377</v>
      </c>
      <c r="B358" s="40" t="inlineStr">
        <is>
          <t>Monday</t>
        </is>
      </c>
      <c r="C358" s="40" t="inlineStr"/>
      <c r="D358" s="40" t="inlineStr"/>
      <c r="E358" s="64" t="inlineStr"/>
      <c r="F358" s="64" t="inlineStr"/>
      <c r="G358" s="64">
        <f>IFERROR(IF(AND(E358&lt;&gt;"",F358&lt;&gt;""),E358-F358,IF(E358&lt;&gt;"",E358,IF(F358&lt;&gt;"",-F358,""))),"")</f>
        <v/>
      </c>
      <c r="H358" s="40" t="inlineStr"/>
      <c r="I358" s="40" t="inlineStr"/>
    </row>
    <row r="359" ht="22" customHeight="1">
      <c r="A359" s="43" t="n">
        <v>46378</v>
      </c>
      <c r="B359" s="44" t="inlineStr">
        <is>
          <t>Tuesday</t>
        </is>
      </c>
      <c r="C359" s="44" t="inlineStr"/>
      <c r="D359" s="44" t="inlineStr"/>
      <c r="E359" s="65" t="inlineStr"/>
      <c r="F359" s="65" t="inlineStr"/>
      <c r="G359" s="65">
        <f>IFERROR(IF(AND(E359&lt;&gt;"",F359&lt;&gt;""),E359-F359,IF(E359&lt;&gt;"",E359,IF(F359&lt;&gt;"",-F359,""))),"")</f>
        <v/>
      </c>
      <c r="H359" s="44" t="inlineStr"/>
      <c r="I359" s="44" t="inlineStr"/>
    </row>
    <row r="360" ht="22" customHeight="1">
      <c r="A360" s="39" t="n">
        <v>46379</v>
      </c>
      <c r="B360" s="40" t="inlineStr">
        <is>
          <t>Wednesday</t>
        </is>
      </c>
      <c r="C360" s="40" t="inlineStr"/>
      <c r="D360" s="40" t="inlineStr"/>
      <c r="E360" s="64" t="inlineStr"/>
      <c r="F360" s="64" t="inlineStr"/>
      <c r="G360" s="64">
        <f>IFERROR(IF(AND(E360&lt;&gt;"",F360&lt;&gt;""),E360-F360,IF(E360&lt;&gt;"",E360,IF(F360&lt;&gt;"",-F360,""))),"")</f>
        <v/>
      </c>
      <c r="H360" s="40" t="inlineStr"/>
      <c r="I360" s="40" t="inlineStr"/>
    </row>
    <row r="361" ht="22" customHeight="1">
      <c r="A361" s="43" t="n">
        <v>46380</v>
      </c>
      <c r="B361" s="44" t="inlineStr">
        <is>
          <t>Thursday</t>
        </is>
      </c>
      <c r="C361" s="44" t="inlineStr"/>
      <c r="D361" s="44" t="inlineStr"/>
      <c r="E361" s="65" t="inlineStr"/>
      <c r="F361" s="65" t="inlineStr"/>
      <c r="G361" s="65">
        <f>IFERROR(IF(AND(E361&lt;&gt;"",F361&lt;&gt;""),E361-F361,IF(E361&lt;&gt;"",E361,IF(F361&lt;&gt;"",-F361,""))),"")</f>
        <v/>
      </c>
      <c r="H361" s="44" t="inlineStr"/>
      <c r="I361" s="44" t="inlineStr"/>
    </row>
    <row r="362" ht="22" customHeight="1">
      <c r="A362" s="39" t="n">
        <v>46381</v>
      </c>
      <c r="B362" s="40" t="inlineStr">
        <is>
          <t>Friday</t>
        </is>
      </c>
      <c r="C362" s="40" t="inlineStr"/>
      <c r="D362" s="40" t="inlineStr"/>
      <c r="E362" s="64" t="inlineStr"/>
      <c r="F362" s="64" t="inlineStr"/>
      <c r="G362" s="64">
        <f>IFERROR(IF(AND(E362&lt;&gt;"",F362&lt;&gt;""),E362-F362,IF(E362&lt;&gt;"",E362,IF(F362&lt;&gt;"",-F362,""))),"")</f>
        <v/>
      </c>
      <c r="H362" s="40" t="inlineStr"/>
      <c r="I362" s="40" t="inlineStr"/>
    </row>
    <row r="363" ht="22" customHeight="1">
      <c r="A363" s="43" t="n">
        <v>46382</v>
      </c>
      <c r="B363" s="44" t="inlineStr">
        <is>
          <t>Saturday</t>
        </is>
      </c>
      <c r="C363" s="44" t="inlineStr"/>
      <c r="D363" s="44" t="inlineStr"/>
      <c r="E363" s="65" t="inlineStr"/>
      <c r="F363" s="65" t="inlineStr"/>
      <c r="G363" s="65">
        <f>IFERROR(IF(AND(E363&lt;&gt;"",F363&lt;&gt;""),E363-F363,IF(E363&lt;&gt;"",E363,IF(F363&lt;&gt;"",-F363,""))),"")</f>
        <v/>
      </c>
      <c r="H363" s="44" t="inlineStr"/>
      <c r="I363" s="44" t="inlineStr"/>
    </row>
    <row r="364" ht="22" customHeight="1">
      <c r="A364" s="39" t="n">
        <v>46383</v>
      </c>
      <c r="B364" s="40" t="inlineStr">
        <is>
          <t>Sunday</t>
        </is>
      </c>
      <c r="C364" s="40" t="inlineStr"/>
      <c r="D364" s="40" t="inlineStr"/>
      <c r="E364" s="64" t="inlineStr"/>
      <c r="F364" s="64" t="inlineStr"/>
      <c r="G364" s="64">
        <f>IFERROR(IF(AND(E364&lt;&gt;"",F364&lt;&gt;""),E364-F364,IF(E364&lt;&gt;"",E364,IF(F364&lt;&gt;"",-F364,""))),"")</f>
        <v/>
      </c>
      <c r="H364" s="40" t="inlineStr"/>
      <c r="I364" s="40" t="inlineStr"/>
    </row>
    <row r="365" ht="22" customHeight="1">
      <c r="A365" s="43" t="n">
        <v>46384</v>
      </c>
      <c r="B365" s="44" t="inlineStr">
        <is>
          <t>Monday</t>
        </is>
      </c>
      <c r="C365" s="44" t="inlineStr"/>
      <c r="D365" s="44" t="inlineStr"/>
      <c r="E365" s="65" t="inlineStr"/>
      <c r="F365" s="65" t="inlineStr"/>
      <c r="G365" s="65">
        <f>IFERROR(IF(AND(E365&lt;&gt;"",F365&lt;&gt;""),E365-F365,IF(E365&lt;&gt;"",E365,IF(F365&lt;&gt;"",-F365,""))),"")</f>
        <v/>
      </c>
      <c r="H365" s="44" t="inlineStr"/>
      <c r="I365" s="44" t="inlineStr"/>
    </row>
    <row r="366" ht="22" customHeight="1">
      <c r="A366" s="39" t="n">
        <v>46385</v>
      </c>
      <c r="B366" s="40" t="inlineStr">
        <is>
          <t>Tuesday</t>
        </is>
      </c>
      <c r="C366" s="40" t="inlineStr"/>
      <c r="D366" s="40" t="inlineStr"/>
      <c r="E366" s="64" t="inlineStr"/>
      <c r="F366" s="64" t="inlineStr"/>
      <c r="G366" s="64">
        <f>IFERROR(IF(AND(E366&lt;&gt;"",F366&lt;&gt;""),E366-F366,IF(E366&lt;&gt;"",E366,IF(F366&lt;&gt;"",-F366,""))),"")</f>
        <v/>
      </c>
      <c r="H366" s="40" t="inlineStr"/>
      <c r="I366" s="40" t="inlineStr"/>
    </row>
    <row r="367" ht="22" customHeight="1">
      <c r="A367" s="43" t="n">
        <v>46386</v>
      </c>
      <c r="B367" s="44" t="inlineStr">
        <is>
          <t>Wednesday</t>
        </is>
      </c>
      <c r="C367" s="44" t="inlineStr"/>
      <c r="D367" s="44" t="inlineStr"/>
      <c r="E367" s="65" t="inlineStr"/>
      <c r="F367" s="65" t="inlineStr"/>
      <c r="G367" s="65">
        <f>IFERROR(IF(AND(E367&lt;&gt;"",F367&lt;&gt;""),E367-F367,IF(E367&lt;&gt;"",E367,IF(F367&lt;&gt;"",-F367,""))),"")</f>
        <v/>
      </c>
      <c r="H367" s="44" t="inlineStr"/>
      <c r="I367" s="44" t="inlineStr"/>
    </row>
    <row r="368" ht="22" customHeight="1">
      <c r="A368" s="39" t="n">
        <v>46387</v>
      </c>
      <c r="B368" s="40" t="inlineStr">
        <is>
          <t>Thursday</t>
        </is>
      </c>
      <c r="C368" s="40" t="inlineStr"/>
      <c r="D368" s="40" t="inlineStr"/>
      <c r="E368" s="64" t="inlineStr"/>
      <c r="F368" s="64" t="inlineStr"/>
      <c r="G368" s="64">
        <f>IFERROR(IF(AND(E368&lt;&gt;"",F368&lt;&gt;""),E368-F368,IF(E368&lt;&gt;"",E368,IF(F368&lt;&gt;"",-F368,""))),"")</f>
        <v/>
      </c>
      <c r="H368" s="40" t="inlineStr"/>
      <c r="I368" s="40" t="inlineStr"/>
    </row>
  </sheetData>
  <autoFilter ref="A3:I368"/>
  <mergeCells count="2">
    <mergeCell ref="A1:I1"/>
    <mergeCell ref="A2:I2"/>
  </mergeCells>
  <conditionalFormatting sqref="G4:G368">
    <cfRule type="cellIs" priority="1" operator="greaterThan" dxfId="9">
      <formula>0</formula>
    </cfRule>
    <cfRule type="cellIs" priority="2" operator="lessThan" dxfId="10">
      <formula>0</formula>
    </cfRule>
  </conditionalFormatting>
  <dataValidations count="2">
    <dataValidation sqref="C4:C368" showDropDown="0" showInputMessage="0" showErrorMessage="0" allowBlank="1" type="list">
      <formula1>"Food,Transport,Shopping,Education,Health,Subscription,Family,Personal,Other"</formula1>
    </dataValidation>
    <dataValidation sqref="H4:H368" showDropDown="0" showInputMessage="0" showErrorMessage="0" allowBlank="1" type="list">
      <formula1>"Cash,Card,Online Transfer,Mobile Pay"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2A4A"/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0" customWidth="1" min="4" max="4"/>
  </cols>
  <sheetData>
    <row r="1" ht="32" customHeight="1">
      <c r="A1" s="37" t="inlineStr">
        <is>
          <t>⚙️  GOALS &amp; SETTINGS</t>
        </is>
      </c>
    </row>
    <row r="2" ht="22" customHeight="1">
      <c r="A2" s="53" t="inlineStr">
        <is>
          <t>Edit the yellow value cells below  •  All tracker sheets reference these automatically</t>
        </is>
      </c>
    </row>
    <row r="3" ht="24" customHeight="1">
      <c r="A3" s="66" t="inlineStr">
        <is>
          <t>DAILY HABIT GOALS</t>
        </is>
      </c>
    </row>
    <row r="4" ht="24" customHeight="1">
      <c r="A4" s="67" t="inlineStr">
        <is>
          <t>Setting</t>
        </is>
      </c>
      <c r="B4" s="67" t="inlineStr">
        <is>
          <t>Value</t>
        </is>
      </c>
      <c r="C4" s="67" t="inlineStr">
        <is>
          <t>Unit</t>
        </is>
      </c>
      <c r="D4" s="67" t="inlineStr">
        <is>
          <t>Notes</t>
        </is>
      </c>
    </row>
    <row r="5" ht="26" customHeight="1">
      <c r="A5" s="68" t="inlineStr">
        <is>
          <t>Daily Steps Goal</t>
        </is>
      </c>
      <c r="B5" s="69" t="n">
        <v>10000</v>
      </c>
      <c r="C5" s="70" t="inlineStr">
        <is>
          <t>steps/day</t>
        </is>
      </c>
      <c r="D5" s="71" t="inlineStr">
        <is>
          <t>Steps Tracker references this cell</t>
        </is>
      </c>
    </row>
    <row r="6" ht="26" customHeight="1">
      <c r="A6" s="72" t="inlineStr">
        <is>
          <t>Daily Salat Goal</t>
        </is>
      </c>
      <c r="B6" s="69" t="n">
        <v>5</v>
      </c>
      <c r="C6" s="73" t="inlineStr">
        <is>
          <t>prayers/day</t>
        </is>
      </c>
      <c r="D6" s="74" t="inlineStr">
        <is>
          <t>Max 5 prayers</t>
        </is>
      </c>
    </row>
    <row r="7" ht="26" customHeight="1">
      <c r="A7" s="68" t="inlineStr">
        <is>
          <t>Daily Supplements Goal</t>
        </is>
      </c>
      <c r="B7" s="69" t="n">
        <v>2</v>
      </c>
      <c r="C7" s="70" t="inlineStr">
        <is>
          <t>supplements/day</t>
        </is>
      </c>
      <c r="D7" s="71" t="inlineStr">
        <is>
          <t>Multivitamin + Omega = 2</t>
        </is>
      </c>
    </row>
    <row r="8" ht="26" customHeight="1">
      <c r="A8" s="72" t="inlineStr">
        <is>
          <t>Weekly Gym Grind Days Goal</t>
        </is>
      </c>
      <c r="B8" s="69" t="n">
        <v>5</v>
      </c>
      <c r="C8" s="73" t="inlineStr">
        <is>
          <t>days/week</t>
        </is>
      </c>
      <c r="D8" s="74" t="inlineStr">
        <is>
          <t>Mon Tue Wed Fri Sat = 5 Grind Days</t>
        </is>
      </c>
    </row>
    <row r="9" ht="24" customHeight="1">
      <c r="A9" s="75" t="inlineStr">
        <is>
          <t>MONTHLY GOALS (EDITABLE)</t>
        </is>
      </c>
    </row>
    <row r="10" ht="24" customHeight="1">
      <c r="A10" s="67" t="inlineStr">
        <is>
          <t>Setting</t>
        </is>
      </c>
      <c r="B10" s="67" t="inlineStr">
        <is>
          <t>Value</t>
        </is>
      </c>
      <c r="C10" s="67" t="inlineStr">
        <is>
          <t>Unit</t>
        </is>
      </c>
      <c r="D10" s="67" t="inlineStr">
        <is>
          <t>Notes</t>
        </is>
      </c>
    </row>
    <row r="11" ht="26" customHeight="1">
      <c r="A11" s="68" t="inlineStr">
        <is>
          <t>Monthly Running KM Goal</t>
        </is>
      </c>
      <c r="B11" s="69" t="n">
        <v>0</v>
      </c>
      <c r="C11" s="70" t="inlineStr">
        <is>
          <t>km/month</t>
        </is>
      </c>
      <c r="D11" s="71" t="inlineStr">
        <is>
          <t>Set your monthly running target</t>
        </is>
      </c>
    </row>
    <row r="12" ht="26" customHeight="1">
      <c r="A12" s="72" t="inlineStr">
        <is>
          <t>Monthly Savings Goal</t>
        </is>
      </c>
      <c r="B12" s="69" t="n">
        <v>0</v>
      </c>
      <c r="C12" s="73" t="inlineStr">
        <is>
          <t>currency</t>
        </is>
      </c>
      <c r="D12" s="74" t="inlineStr">
        <is>
          <t>Set your monthly savings target</t>
        </is>
      </c>
    </row>
    <row r="13" ht="24" customHeight="1">
      <c r="A13" s="76" t="inlineStr">
        <is>
          <t>TRACKER DATE RANGE</t>
        </is>
      </c>
    </row>
    <row r="14" ht="26" customHeight="1">
      <c r="A14" s="68" t="inlineStr">
        <is>
          <t>Start Date</t>
        </is>
      </c>
      <c r="B14" s="77" t="n">
        <v>46023</v>
      </c>
      <c r="C14" s="70" t="inlineStr">
        <is>
          <t>DD-MMM-YYYY</t>
        </is>
      </c>
      <c r="D14" s="71" t="inlineStr">
        <is>
          <t>First tracked date</t>
        </is>
      </c>
    </row>
    <row r="15" ht="26" customHeight="1">
      <c r="A15" s="72" t="inlineStr">
        <is>
          <t>End Date</t>
        </is>
      </c>
      <c r="B15" s="77" t="n">
        <v>46387</v>
      </c>
      <c r="C15" s="73" t="inlineStr">
        <is>
          <t>DD-MMM-YYYY</t>
        </is>
      </c>
      <c r="D15" s="74" t="inlineStr">
        <is>
          <t>Last tracked date</t>
        </is>
      </c>
    </row>
  </sheetData>
  <mergeCells count="5">
    <mergeCell ref="A1:D1"/>
    <mergeCell ref="A9:D9"/>
    <mergeCell ref="A3:D3"/>
    <mergeCell ref="A2:D2"/>
    <mergeCell ref="A13:D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9A825"/>
    <outlinePr summaryBelow="1" summaryRight="1"/>
    <pageSetUpPr/>
  </sheetPr>
  <dimension ref="A1:K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</cols>
  <sheetData>
    <row r="1" ht="32" customHeight="1">
      <c r="A1" s="37" t="inlineStr">
        <is>
          <t>📊  MONTHLY SUMMARY 2026</t>
        </is>
      </c>
    </row>
    <row r="2" ht="22" customHeight="1">
      <c r="A2" s="53" t="inlineStr">
        <is>
          <t>Overall Score = Salat 25% + Gym 20% + Supplements 15% + Steps 15% + Running 10% + Savings 15%</t>
        </is>
      </c>
    </row>
    <row r="3" ht="28" customHeight="1">
      <c r="A3" s="67" t="inlineStr">
        <is>
          <t>Month</t>
        </is>
      </c>
      <c r="B3" s="67" t="inlineStr">
        <is>
          <t>Salat %</t>
        </is>
      </c>
      <c r="C3" s="67" t="inlineStr">
        <is>
          <t>Gym %</t>
        </is>
      </c>
      <c r="D3" s="67" t="inlineStr">
        <is>
          <t>Suppl. %</t>
        </is>
      </c>
      <c r="E3" s="67" t="inlineStr">
        <is>
          <t>Steps Goal %</t>
        </is>
      </c>
      <c r="F3" s="67" t="inlineStr">
        <is>
          <t>Running KM</t>
        </is>
      </c>
      <c r="G3" s="67" t="inlineStr">
        <is>
          <t>Total Income</t>
        </is>
      </c>
      <c r="H3" s="67" t="inlineStr">
        <is>
          <t>Total Expense</t>
        </is>
      </c>
      <c r="I3" s="67" t="inlineStr">
        <is>
          <t>Total Savings</t>
        </is>
      </c>
      <c r="J3" s="67" t="inlineStr">
        <is>
          <t>Savings Rate %</t>
        </is>
      </c>
      <c r="K3" s="67" t="inlineStr">
        <is>
          <t>Overall Score %</t>
        </is>
      </c>
    </row>
    <row r="4" ht="22" customHeight="1">
      <c r="A4" s="40" t="inlineStr">
        <is>
          <t>January</t>
        </is>
      </c>
      <c r="B4" s="78">
        <f>IFERROR(AVERAGE('Salat Tracker'!I4:I34),0)</f>
        <v/>
      </c>
      <c r="C4" s="78">
        <f>IFERROR(COUNTIFS('Gym Routine'!C4:C34,"Grind Day",'Gym Routine'!D4:D34,1)/22,0)</f>
        <v/>
      </c>
      <c r="D4" s="78">
        <f>IFERROR(COUNTIF('Supplements'!E4:E34,1)/31,0)</f>
        <v/>
      </c>
      <c r="E4" s="78">
        <f>IFERROR(COUNTIF('Steps Tracker'!E4:E34,1)/31,0)</f>
        <v/>
      </c>
      <c r="F4" s="79">
        <f>IFERROR(SUMIF('Running Tracker'!C4:C34,1,'Running Tracker'!D4:D34),0)</f>
        <v/>
      </c>
      <c r="G4" s="64">
        <f>IFERROR(SUM('Expense &amp; Savings'!E4:E34),0)</f>
        <v/>
      </c>
      <c r="H4" s="64">
        <f>IFERROR(SUM('Expense &amp; Savings'!F4:F34),0)</f>
        <v/>
      </c>
      <c r="I4" s="64">
        <f>IFERROR(G4-H4,0)</f>
        <v/>
      </c>
      <c r="J4" s="78">
        <f>IFERROR(I4/G4,0)</f>
        <v/>
      </c>
      <c r="K4" s="78">
        <f>B4*0.25+C4*0.20+D4*0.15+E4*0.15+MIN(IFERROR(F4/'Goals &amp; Settings'!B11,0),1)*0.10+MIN(IFERROR(I4/'Goals &amp; Settings'!B12,0),1)*0.15</f>
        <v/>
      </c>
    </row>
    <row r="5" ht="22" customHeight="1">
      <c r="A5" s="44" t="inlineStr">
        <is>
          <t>February</t>
        </is>
      </c>
      <c r="B5" s="80">
        <f>IFERROR(AVERAGE('Salat Tracker'!I35:I62),0)</f>
        <v/>
      </c>
      <c r="C5" s="80">
        <f>IFERROR(COUNTIFS('Gym Routine'!C35:C62,"Grind Day",'Gym Routine'!D35:D62,1)/20,0)</f>
        <v/>
      </c>
      <c r="D5" s="80">
        <f>IFERROR(COUNTIF('Supplements'!E35:E62,1)/28,0)</f>
        <v/>
      </c>
      <c r="E5" s="80">
        <f>IFERROR(COUNTIF('Steps Tracker'!E35:E62,1)/28,0)</f>
        <v/>
      </c>
      <c r="F5" s="81">
        <f>IFERROR(SUMIF('Running Tracker'!C35:C62,1,'Running Tracker'!D35:D62),0)</f>
        <v/>
      </c>
      <c r="G5" s="65">
        <f>IFERROR(SUM('Expense &amp; Savings'!E35:E62),0)</f>
        <v/>
      </c>
      <c r="H5" s="65">
        <f>IFERROR(SUM('Expense &amp; Savings'!F35:F62),0)</f>
        <v/>
      </c>
      <c r="I5" s="65">
        <f>IFERROR(G5-H5,0)</f>
        <v/>
      </c>
      <c r="J5" s="80">
        <f>IFERROR(I5/G5,0)</f>
        <v/>
      </c>
      <c r="K5" s="80">
        <f>B5*0.25+C5*0.20+D5*0.15+E5*0.15+MIN(IFERROR(F5/'Goals &amp; Settings'!B11,0),1)*0.10+MIN(IFERROR(I5/'Goals &amp; Settings'!B12,0),1)*0.15</f>
        <v/>
      </c>
    </row>
    <row r="6" ht="22" customHeight="1">
      <c r="A6" s="40" t="inlineStr">
        <is>
          <t>March</t>
        </is>
      </c>
      <c r="B6" s="78">
        <f>IFERROR(AVERAGE('Salat Tracker'!I63:I93),0)</f>
        <v/>
      </c>
      <c r="C6" s="78">
        <f>IFERROR(COUNTIFS('Gym Routine'!C63:C93,"Grind Day",'Gym Routine'!D63:D93,1)/22,0)</f>
        <v/>
      </c>
      <c r="D6" s="78">
        <f>IFERROR(COUNTIF('Supplements'!E63:E93,1)/31,0)</f>
        <v/>
      </c>
      <c r="E6" s="78">
        <f>IFERROR(COUNTIF('Steps Tracker'!E63:E93,1)/31,0)</f>
        <v/>
      </c>
      <c r="F6" s="79">
        <f>IFERROR(SUMIF('Running Tracker'!C63:C93,1,'Running Tracker'!D63:D93),0)</f>
        <v/>
      </c>
      <c r="G6" s="64">
        <f>IFERROR(SUM('Expense &amp; Savings'!E63:E93),0)</f>
        <v/>
      </c>
      <c r="H6" s="64">
        <f>IFERROR(SUM('Expense &amp; Savings'!F63:F93),0)</f>
        <v/>
      </c>
      <c r="I6" s="64">
        <f>IFERROR(G6-H6,0)</f>
        <v/>
      </c>
      <c r="J6" s="78">
        <f>IFERROR(I6/G6,0)</f>
        <v/>
      </c>
      <c r="K6" s="78">
        <f>B6*0.25+C6*0.20+D6*0.15+E6*0.15+MIN(IFERROR(F6/'Goals &amp; Settings'!B11,0),1)*0.10+MIN(IFERROR(I6/'Goals &amp; Settings'!B12,0),1)*0.15</f>
        <v/>
      </c>
    </row>
    <row r="7" ht="22" customHeight="1">
      <c r="A7" s="44" t="inlineStr">
        <is>
          <t>April</t>
        </is>
      </c>
      <c r="B7" s="80">
        <f>IFERROR(AVERAGE('Salat Tracker'!I94:I123),0)</f>
        <v/>
      </c>
      <c r="C7" s="80">
        <f>IFERROR(COUNTIFS('Gym Routine'!C94:C123,"Grind Day",'Gym Routine'!D94:D123,1)/21,0)</f>
        <v/>
      </c>
      <c r="D7" s="80">
        <f>IFERROR(COUNTIF('Supplements'!E94:E123,1)/30,0)</f>
        <v/>
      </c>
      <c r="E7" s="80">
        <f>IFERROR(COUNTIF('Steps Tracker'!E94:E123,1)/30,0)</f>
        <v/>
      </c>
      <c r="F7" s="81">
        <f>IFERROR(SUMIF('Running Tracker'!C94:C123,1,'Running Tracker'!D94:D123),0)</f>
        <v/>
      </c>
      <c r="G7" s="65">
        <f>IFERROR(SUM('Expense &amp; Savings'!E94:E123),0)</f>
        <v/>
      </c>
      <c r="H7" s="65">
        <f>IFERROR(SUM('Expense &amp; Savings'!F94:F123),0)</f>
        <v/>
      </c>
      <c r="I7" s="65">
        <f>IFERROR(G7-H7,0)</f>
        <v/>
      </c>
      <c r="J7" s="80">
        <f>IFERROR(I7/G7,0)</f>
        <v/>
      </c>
      <c r="K7" s="80">
        <f>B7*0.25+C7*0.20+D7*0.15+E7*0.15+MIN(IFERROR(F7/'Goals &amp; Settings'!B11,0),1)*0.10+MIN(IFERROR(I7/'Goals &amp; Settings'!B12,0),1)*0.15</f>
        <v/>
      </c>
    </row>
    <row r="8" ht="22" customHeight="1">
      <c r="A8" s="40" t="inlineStr">
        <is>
          <t>May</t>
        </is>
      </c>
      <c r="B8" s="78">
        <f>IFERROR(AVERAGE('Salat Tracker'!I124:I154),0)</f>
        <v/>
      </c>
      <c r="C8" s="78">
        <f>IFERROR(COUNTIFS('Gym Routine'!C124:C154,"Grind Day",'Gym Routine'!D124:D154,1)/22,0)</f>
        <v/>
      </c>
      <c r="D8" s="78">
        <f>IFERROR(COUNTIF('Supplements'!E124:E154,1)/31,0)</f>
        <v/>
      </c>
      <c r="E8" s="78">
        <f>IFERROR(COUNTIF('Steps Tracker'!E124:E154,1)/31,0)</f>
        <v/>
      </c>
      <c r="F8" s="79">
        <f>IFERROR(SUMIF('Running Tracker'!C124:C154,1,'Running Tracker'!D124:D154),0)</f>
        <v/>
      </c>
      <c r="G8" s="64">
        <f>IFERROR(SUM('Expense &amp; Savings'!E124:E154),0)</f>
        <v/>
      </c>
      <c r="H8" s="64">
        <f>IFERROR(SUM('Expense &amp; Savings'!F124:F154),0)</f>
        <v/>
      </c>
      <c r="I8" s="64">
        <f>IFERROR(G8-H8,0)</f>
        <v/>
      </c>
      <c r="J8" s="78">
        <f>IFERROR(I8/G8,0)</f>
        <v/>
      </c>
      <c r="K8" s="78">
        <f>B8*0.25+C8*0.20+D8*0.15+E8*0.15+MIN(IFERROR(F8/'Goals &amp; Settings'!B11,0),1)*0.10+MIN(IFERROR(I8/'Goals &amp; Settings'!B12,0),1)*0.15</f>
        <v/>
      </c>
    </row>
    <row r="9" ht="22" customHeight="1">
      <c r="A9" s="44" t="inlineStr">
        <is>
          <t>June</t>
        </is>
      </c>
      <c r="B9" s="80">
        <f>IFERROR(AVERAGE('Salat Tracker'!I155:I184),0)</f>
        <v/>
      </c>
      <c r="C9" s="80">
        <f>IFERROR(COUNTIFS('Gym Routine'!C155:C184,"Grind Day",'Gym Routine'!D155:D184,1)/22,0)</f>
        <v/>
      </c>
      <c r="D9" s="80">
        <f>IFERROR(COUNTIF('Supplements'!E155:E184,1)/30,0)</f>
        <v/>
      </c>
      <c r="E9" s="80">
        <f>IFERROR(COUNTIF('Steps Tracker'!E155:E184,1)/30,0)</f>
        <v/>
      </c>
      <c r="F9" s="81">
        <f>IFERROR(SUMIF('Running Tracker'!C155:C184,1,'Running Tracker'!D155:D184),0)</f>
        <v/>
      </c>
      <c r="G9" s="65">
        <f>IFERROR(SUM('Expense &amp; Savings'!E155:E184),0)</f>
        <v/>
      </c>
      <c r="H9" s="65">
        <f>IFERROR(SUM('Expense &amp; Savings'!F155:F184),0)</f>
        <v/>
      </c>
      <c r="I9" s="65">
        <f>IFERROR(G9-H9,0)</f>
        <v/>
      </c>
      <c r="J9" s="80">
        <f>IFERROR(I9/G9,0)</f>
        <v/>
      </c>
      <c r="K9" s="80">
        <f>B9*0.25+C9*0.20+D9*0.15+E9*0.15+MIN(IFERROR(F9/'Goals &amp; Settings'!B11,0),1)*0.10+MIN(IFERROR(I9/'Goals &amp; Settings'!B12,0),1)*0.15</f>
        <v/>
      </c>
    </row>
    <row r="10" ht="22" customHeight="1">
      <c r="A10" s="40" t="inlineStr">
        <is>
          <t>July</t>
        </is>
      </c>
      <c r="B10" s="78">
        <f>IFERROR(AVERAGE('Salat Tracker'!I185:I215),0)</f>
        <v/>
      </c>
      <c r="C10" s="78">
        <f>IFERROR(COUNTIFS('Gym Routine'!C185:C215,"Grind Day",'Gym Routine'!D185:D215,1)/22,0)</f>
        <v/>
      </c>
      <c r="D10" s="78">
        <f>IFERROR(COUNTIF('Supplements'!E185:E215,1)/31,0)</f>
        <v/>
      </c>
      <c r="E10" s="78">
        <f>IFERROR(COUNTIF('Steps Tracker'!E185:E215,1)/31,0)</f>
        <v/>
      </c>
      <c r="F10" s="79">
        <f>IFERROR(SUMIF('Running Tracker'!C185:C215,1,'Running Tracker'!D185:D215),0)</f>
        <v/>
      </c>
      <c r="G10" s="64">
        <f>IFERROR(SUM('Expense &amp; Savings'!E185:E215),0)</f>
        <v/>
      </c>
      <c r="H10" s="64">
        <f>IFERROR(SUM('Expense &amp; Savings'!F185:F215),0)</f>
        <v/>
      </c>
      <c r="I10" s="64">
        <f>IFERROR(G10-H10,0)</f>
        <v/>
      </c>
      <c r="J10" s="78">
        <f>IFERROR(I10/G10,0)</f>
        <v/>
      </c>
      <c r="K10" s="78">
        <f>B10*0.25+C10*0.20+D10*0.15+E10*0.15+MIN(IFERROR(F10/'Goals &amp; Settings'!B11,0),1)*0.10+MIN(IFERROR(I10/'Goals &amp; Settings'!B12,0),1)*0.15</f>
        <v/>
      </c>
    </row>
    <row r="11" ht="22" customHeight="1">
      <c r="A11" s="44" t="inlineStr">
        <is>
          <t>August</t>
        </is>
      </c>
      <c r="B11" s="80">
        <f>IFERROR(AVERAGE('Salat Tracker'!I216:I246),0)</f>
        <v/>
      </c>
      <c r="C11" s="80">
        <f>IFERROR(COUNTIFS('Gym Routine'!C216:C246,"Grind Day",'Gym Routine'!D216:D246,1)/22,0)</f>
        <v/>
      </c>
      <c r="D11" s="80">
        <f>IFERROR(COUNTIF('Supplements'!E216:E246,1)/31,0)</f>
        <v/>
      </c>
      <c r="E11" s="80">
        <f>IFERROR(COUNTIF('Steps Tracker'!E216:E246,1)/31,0)</f>
        <v/>
      </c>
      <c r="F11" s="81">
        <f>IFERROR(SUMIF('Running Tracker'!C216:C246,1,'Running Tracker'!D216:D246),0)</f>
        <v/>
      </c>
      <c r="G11" s="65">
        <f>IFERROR(SUM('Expense &amp; Savings'!E216:E246),0)</f>
        <v/>
      </c>
      <c r="H11" s="65">
        <f>IFERROR(SUM('Expense &amp; Savings'!F216:F246),0)</f>
        <v/>
      </c>
      <c r="I11" s="65">
        <f>IFERROR(G11-H11,0)</f>
        <v/>
      </c>
      <c r="J11" s="80">
        <f>IFERROR(I11/G11,0)</f>
        <v/>
      </c>
      <c r="K11" s="80">
        <f>B11*0.25+C11*0.20+D11*0.15+E11*0.15+MIN(IFERROR(F11/'Goals &amp; Settings'!B11,0),1)*0.10+MIN(IFERROR(I11/'Goals &amp; Settings'!B12,0),1)*0.15</f>
        <v/>
      </c>
    </row>
    <row r="12" ht="22" customHeight="1">
      <c r="A12" s="40" t="inlineStr">
        <is>
          <t>September</t>
        </is>
      </c>
      <c r="B12" s="78">
        <f>IFERROR(AVERAGE('Salat Tracker'!I247:I276),0)</f>
        <v/>
      </c>
      <c r="C12" s="78">
        <f>IFERROR(COUNTIFS('Gym Routine'!C247:C276,"Grind Day",'Gym Routine'!D247:D276,1)/22,0)</f>
        <v/>
      </c>
      <c r="D12" s="78">
        <f>IFERROR(COUNTIF('Supplements'!E247:E276,1)/30,0)</f>
        <v/>
      </c>
      <c r="E12" s="78">
        <f>IFERROR(COUNTIF('Steps Tracker'!E247:E276,1)/30,0)</f>
        <v/>
      </c>
      <c r="F12" s="79">
        <f>IFERROR(SUMIF('Running Tracker'!C247:C276,1,'Running Tracker'!D247:D276),0)</f>
        <v/>
      </c>
      <c r="G12" s="64">
        <f>IFERROR(SUM('Expense &amp; Savings'!E247:E276),0)</f>
        <v/>
      </c>
      <c r="H12" s="64">
        <f>IFERROR(SUM('Expense &amp; Savings'!F247:F276),0)</f>
        <v/>
      </c>
      <c r="I12" s="64">
        <f>IFERROR(G12-H12,0)</f>
        <v/>
      </c>
      <c r="J12" s="78">
        <f>IFERROR(I12/G12,0)</f>
        <v/>
      </c>
      <c r="K12" s="78">
        <f>B12*0.25+C12*0.20+D12*0.15+E12*0.15+MIN(IFERROR(F12/'Goals &amp; Settings'!B11,0),1)*0.10+MIN(IFERROR(I12/'Goals &amp; Settings'!B12,0),1)*0.15</f>
        <v/>
      </c>
    </row>
    <row r="13" ht="22" customHeight="1">
      <c r="A13" s="44" t="inlineStr">
        <is>
          <t>October</t>
        </is>
      </c>
      <c r="B13" s="80">
        <f>IFERROR(AVERAGE('Salat Tracker'!I277:I307),0)</f>
        <v/>
      </c>
      <c r="C13" s="80">
        <f>IFERROR(COUNTIFS('Gym Routine'!C277:C307,"Grind Day",'Gym Routine'!D277:D307,1)/22,0)</f>
        <v/>
      </c>
      <c r="D13" s="80">
        <f>IFERROR(COUNTIF('Supplements'!E277:E307,1)/31,0)</f>
        <v/>
      </c>
      <c r="E13" s="80">
        <f>IFERROR(COUNTIF('Steps Tracker'!E277:E307,1)/31,0)</f>
        <v/>
      </c>
      <c r="F13" s="81">
        <f>IFERROR(SUMIF('Running Tracker'!C277:C307,1,'Running Tracker'!D277:D307),0)</f>
        <v/>
      </c>
      <c r="G13" s="65">
        <f>IFERROR(SUM('Expense &amp; Savings'!E277:E307),0)</f>
        <v/>
      </c>
      <c r="H13" s="65">
        <f>IFERROR(SUM('Expense &amp; Savings'!F277:F307),0)</f>
        <v/>
      </c>
      <c r="I13" s="65">
        <f>IFERROR(G13-H13,0)</f>
        <v/>
      </c>
      <c r="J13" s="80">
        <f>IFERROR(I13/G13,0)</f>
        <v/>
      </c>
      <c r="K13" s="80">
        <f>B13*0.25+C13*0.20+D13*0.15+E13*0.15+MIN(IFERROR(F13/'Goals &amp; Settings'!B11,0),1)*0.10+MIN(IFERROR(I13/'Goals &amp; Settings'!B12,0),1)*0.15</f>
        <v/>
      </c>
    </row>
    <row r="14" ht="22" customHeight="1">
      <c r="A14" s="40" t="inlineStr">
        <is>
          <t>November</t>
        </is>
      </c>
      <c r="B14" s="78">
        <f>IFERROR(AVERAGE('Salat Tracker'!I308:I337),0)</f>
        <v/>
      </c>
      <c r="C14" s="78">
        <f>IFERROR(COUNTIFS('Gym Routine'!C308:C337,"Grind Day",'Gym Routine'!D308:D337,1)/21,0)</f>
        <v/>
      </c>
      <c r="D14" s="78">
        <f>IFERROR(COUNTIF('Supplements'!E308:E337,1)/30,0)</f>
        <v/>
      </c>
      <c r="E14" s="78">
        <f>IFERROR(COUNTIF('Steps Tracker'!E308:E337,1)/30,0)</f>
        <v/>
      </c>
      <c r="F14" s="79">
        <f>IFERROR(SUMIF('Running Tracker'!C308:C337,1,'Running Tracker'!D308:D337),0)</f>
        <v/>
      </c>
      <c r="G14" s="64">
        <f>IFERROR(SUM('Expense &amp; Savings'!E308:E337),0)</f>
        <v/>
      </c>
      <c r="H14" s="64">
        <f>IFERROR(SUM('Expense &amp; Savings'!F308:F337),0)</f>
        <v/>
      </c>
      <c r="I14" s="64">
        <f>IFERROR(G14-H14,0)</f>
        <v/>
      </c>
      <c r="J14" s="78">
        <f>IFERROR(I14/G14,0)</f>
        <v/>
      </c>
      <c r="K14" s="78">
        <f>B14*0.25+C14*0.20+D14*0.15+E14*0.15+MIN(IFERROR(F14/'Goals &amp; Settings'!B11,0),1)*0.10+MIN(IFERROR(I14/'Goals &amp; Settings'!B12,0),1)*0.15</f>
        <v/>
      </c>
    </row>
    <row r="15" ht="22" customHeight="1">
      <c r="A15" s="44" t="inlineStr">
        <is>
          <t>December</t>
        </is>
      </c>
      <c r="B15" s="80">
        <f>IFERROR(AVERAGE('Salat Tracker'!I338:I368),0)</f>
        <v/>
      </c>
      <c r="C15" s="80">
        <f>IFERROR(COUNTIFS('Gym Routine'!C338:C368,"Grind Day",'Gym Routine'!D338:D368,1)/22,0)</f>
        <v/>
      </c>
      <c r="D15" s="80">
        <f>IFERROR(COUNTIF('Supplements'!E338:E368,1)/31,0)</f>
        <v/>
      </c>
      <c r="E15" s="80">
        <f>IFERROR(COUNTIF('Steps Tracker'!E338:E368,1)/31,0)</f>
        <v/>
      </c>
      <c r="F15" s="81">
        <f>IFERROR(SUMIF('Running Tracker'!C338:C368,1,'Running Tracker'!D338:D368),0)</f>
        <v/>
      </c>
      <c r="G15" s="65">
        <f>IFERROR(SUM('Expense &amp; Savings'!E338:E368),0)</f>
        <v/>
      </c>
      <c r="H15" s="65">
        <f>IFERROR(SUM('Expense &amp; Savings'!F338:F368),0)</f>
        <v/>
      </c>
      <c r="I15" s="65">
        <f>IFERROR(G15-H15,0)</f>
        <v/>
      </c>
      <c r="J15" s="80">
        <f>IFERROR(I15/G15,0)</f>
        <v/>
      </c>
      <c r="K15" s="80">
        <f>B15*0.25+C15*0.20+D15*0.15+E15*0.15+MIN(IFERROR(F15/'Goals &amp; Settings'!B11,0),1)*0.10+MIN(IFERROR(I15/'Goals &amp; Settings'!B12,0),1)*0.15</f>
        <v/>
      </c>
    </row>
    <row r="16" ht="26" customHeight="1">
      <c r="A16" s="67" t="inlineStr">
        <is>
          <t>YEAR 2026 TOTAL / AVG</t>
        </is>
      </c>
      <c r="B16" s="82">
        <f>AVERAGE(B4:B15)</f>
        <v/>
      </c>
      <c r="C16" s="82">
        <f>AVERAGE(C4:C15)</f>
        <v/>
      </c>
      <c r="D16" s="82">
        <f>AVERAGE(D4:D15)</f>
        <v/>
      </c>
      <c r="E16" s="82">
        <f>AVERAGE(E4:E15)</f>
        <v/>
      </c>
      <c r="F16" s="83">
        <f>SUM(F4:F15)</f>
        <v/>
      </c>
      <c r="G16" s="84">
        <f>SUM(G4:G15)</f>
        <v/>
      </c>
      <c r="H16" s="84">
        <f>SUM(H4:H15)</f>
        <v/>
      </c>
      <c r="I16" s="84">
        <f>SUM(I4:I15)</f>
        <v/>
      </c>
      <c r="J16" s="82">
        <f>IFERROR(I16/G16,0)</f>
        <v/>
      </c>
      <c r="K16" s="82">
        <f>AVERAGE(K4:K15)</f>
        <v/>
      </c>
    </row>
  </sheetData>
  <mergeCells count="2">
    <mergeCell ref="A2:K2"/>
    <mergeCell ref="A1:K1"/>
  </mergeCells>
  <conditionalFormatting sqref="K4:K15">
    <cfRule type="cellIs" priority="1" operator="greaterThanOrEqual" dxfId="1">
      <formula>0.8</formula>
    </cfRule>
    <cfRule type="cellIs" priority="2" operator="between" dxfId="2">
      <formula>0.6</formula>
      <formula>0.8</formula>
    </cfRule>
    <cfRule type="cellIs" priority="3" operator="lessThan" dxfId="3">
      <formula>0.6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2026-06-22T20:36:01Z</dcterms:created>
  <dcterms:modified xsi:type="dcterms:W3CDTF">2026-06-22T20:36:04Z</dcterms:modified>
</cp:coreProperties>
</file>